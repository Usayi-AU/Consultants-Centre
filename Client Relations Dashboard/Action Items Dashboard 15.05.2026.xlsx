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dwin\Downloads\"/>
    </mc:Choice>
  </mc:AlternateContent>
  <xr:revisionPtr revIDLastSave="0" documentId="8_{4F0EB287-D75E-41C1-91E8-1A7F11F7D7D4}" xr6:coauthVersionLast="47" xr6:coauthVersionMax="47" xr10:uidLastSave="{00000000-0000-0000-0000-000000000000}"/>
  <bookViews>
    <workbookView xWindow="-120" yWindow="-120" windowWidth="20730" windowHeight="11040" tabRatio="500" activeTab="1" xr2:uid="{00000000-000D-0000-FFFF-FFFF00000000}"/>
  </bookViews>
  <sheets>
    <sheet name="📊 SUMMARY" sheetId="1" r:id="rId1"/>
    <sheet name="📋 CLIENT ACTION ITEMS" sheetId="2" r:id="rId2"/>
    <sheet name="✅ COMPLETED ITEM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1" l="1"/>
  <c r="H18" i="2"/>
  <c r="H21" i="2" l="1"/>
  <c r="H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tc={BC7DAF64-621C-4488-9F3D-A365C5C06CCF}</author>
  </authors>
  <commentList>
    <comment ref="C446" authorId="0" shapeId="0" xr:uid="{BC7DAF64-621C-4488-9F3D-A365C5C06CCF}">
      <text>
        <t xml:space="preserve">[Threaded comment]
Your version of Excel allows you to read this threaded comment; however, any edits to it will get removed if the file is opened in a newer version of Excel. Learn more: https://go.microsoft.com/fwlink/?linkid=870924
Comment:
    It was communicated to the administrator that the investment was not investor ready. This is a land development project that is not yet saleable since allocation is still to be done, as such there is nothing to analyse for now </t>
      </text>
    </comment>
  </commentList>
</comments>
</file>

<file path=xl/sharedStrings.xml><?xml version="1.0" encoding="utf-8"?>
<sst xmlns="http://schemas.openxmlformats.org/spreadsheetml/2006/main" count="2025" uniqueCount="650">
  <si>
    <t>INTELLEGO  ·  ACTION ITEMS DASHBOARD</t>
  </si>
  <si>
    <t>TOTAL ACTIVE
ITEMS</t>
  </si>
  <si>
    <t>DONE /
COMPLETED</t>
  </si>
  <si>
    <t>IN PROGRESS
(WIP)</t>
  </si>
  <si>
    <t>PENDING</t>
  </si>
  <si>
    <t>ONGOING</t>
  </si>
  <si>
    <t>CLIENT</t>
  </si>
  <si>
    <t>WIP</t>
  </si>
  <si>
    <t>Zimasco</t>
  </si>
  <si>
    <t>Falcon</t>
  </si>
  <si>
    <t>NSSA</t>
  </si>
  <si>
    <t>Masiyepambili</t>
  </si>
  <si>
    <t>FBC</t>
  </si>
  <si>
    <t>Whitestone</t>
  </si>
  <si>
    <t>Simbisa</t>
  </si>
  <si>
    <t>Minerva Funds</t>
  </si>
  <si>
    <t>CIPF</t>
  </si>
  <si>
    <t>First Capital Bank</t>
  </si>
  <si>
    <t>CLIENT NAME</t>
  </si>
  <si>
    <t>TARGET COMPLETION DATE</t>
  </si>
  <si>
    <t>Nestle</t>
  </si>
  <si>
    <t>Shamva</t>
  </si>
  <si>
    <t>ACTION ITEM</t>
  </si>
  <si>
    <t>STATUS</t>
  </si>
  <si>
    <t>OWNER (CRM)</t>
  </si>
  <si>
    <t>DATE RECEIVED</t>
  </si>
  <si>
    <t>TARGET DATE</t>
  </si>
  <si>
    <t>UPDATE (PREV WEEK)</t>
  </si>
  <si>
    <t>UPDATE (THIS WEEK)</t>
  </si>
  <si>
    <t>STATUS QUO</t>
  </si>
  <si>
    <t>CRM</t>
  </si>
  <si>
    <t>UPDATE PREVIOUS WEEK</t>
  </si>
  <si>
    <t>UPDATE THIS WEEK</t>
  </si>
  <si>
    <t>IPS  and mandates request</t>
  </si>
  <si>
    <t>Tatenda</t>
  </si>
  <si>
    <t>Data for the IPS was requested from the Administrators, Mandates will be finalised  after the IPS review</t>
  </si>
  <si>
    <t>Datvest Liaison</t>
  </si>
  <si>
    <t>Pending</t>
  </si>
  <si>
    <t>Tari</t>
  </si>
  <si>
    <t>IPS Review</t>
  </si>
  <si>
    <t>Data was requested from the administrator however we are waiting for the actturial report to be finalised</t>
  </si>
  <si>
    <t>Medical Investments Disinvestment Paper</t>
  </si>
  <si>
    <t>Assesment on suitability of property invesrment opportunity</t>
  </si>
  <si>
    <t>There was request for further information on the Investment opportunity, yet to receive a response from minerva</t>
  </si>
  <si>
    <t>Kavango Analysis</t>
  </si>
  <si>
    <t>Paper on Alternative investments troubled assets</t>
  </si>
  <si>
    <t>Edwin</t>
  </si>
  <si>
    <t>The board requested that we include long term asset manager perfomance survey numbers in future reports</t>
  </si>
  <si>
    <t>Nothing has been done yet on this action item</t>
  </si>
  <si>
    <t>Ruzawe project analysis</t>
  </si>
  <si>
    <t>3 year  fund perfomance analysis</t>
  </si>
  <si>
    <t>Zimcampus project returns from inception to date</t>
  </si>
  <si>
    <t>Three year perfomance analysis of the Smartvest  portfolio</t>
  </si>
  <si>
    <t>Available investment from Nhaka Disposal and funds that may come from the Smartsurbubs disposal.</t>
  </si>
  <si>
    <t>Glenforest Opportunity Recommendation</t>
  </si>
  <si>
    <t>Update on report on the Fund’s liquidity profile assessment and review of investment strategy</t>
  </si>
  <si>
    <t>Tapiwa</t>
  </si>
  <si>
    <t>Asset prevailing market values in MBIZO area where the Fund holds stands</t>
  </si>
  <si>
    <t>Review and issue recommendations on Fairview stand offer submitted by Datvest.</t>
  </si>
  <si>
    <t>Edgars</t>
  </si>
  <si>
    <t>Assessment of the asset managers’ performance and make recommendations on whether they should continue or fire the asset manager.</t>
  </si>
  <si>
    <t>They want us to calculate  USD performances going forward</t>
  </si>
  <si>
    <t>Farai</t>
  </si>
  <si>
    <t>Unicem</t>
  </si>
  <si>
    <t>RSC Steelforce</t>
  </si>
  <si>
    <t>Tino</t>
  </si>
  <si>
    <t>Innscor</t>
  </si>
  <si>
    <t>Mimosa</t>
  </si>
  <si>
    <t>TMP</t>
  </si>
  <si>
    <t>IDBZ</t>
  </si>
  <si>
    <t>Nssa</t>
  </si>
  <si>
    <t>COMPLETION DATE</t>
  </si>
  <si>
    <t>COMPLETED ACTION ITEMS  ·  Historical Record</t>
  </si>
  <si>
    <t>ABC</t>
  </si>
  <si>
    <t>Tigere Recommendation</t>
  </si>
  <si>
    <t>Done</t>
  </si>
  <si>
    <t>Tarie</t>
  </si>
  <si>
    <t>Anglo American PF</t>
  </si>
  <si>
    <t>Consultancy Proposal</t>
  </si>
  <si>
    <t>Vongai</t>
  </si>
  <si>
    <t>BOC</t>
  </si>
  <si>
    <t>Recommendation for Smart suburbs, there is an ongoing capital call</t>
  </si>
  <si>
    <t>Update Report Request</t>
  </si>
  <si>
    <t>Mandara Cluster Recommendation</t>
  </si>
  <si>
    <t>Brands</t>
  </si>
  <si>
    <t>Tigere recommendation</t>
  </si>
  <si>
    <t>BRANDS</t>
  </si>
  <si>
    <t>TIGERE  VIA SMATVEST</t>
  </si>
  <si>
    <t>TARIE</t>
  </si>
  <si>
    <t>CAAZ</t>
  </si>
  <si>
    <t>Foundry Project Reccomendation</t>
  </si>
  <si>
    <t>Tariei</t>
  </si>
  <si>
    <t>USD alternative investments</t>
  </si>
  <si>
    <t>Agrowth Recommendation – an increase in exposure</t>
  </si>
  <si>
    <t>construction bonds analysis</t>
  </si>
  <si>
    <t>ACL Leasing Bonds investment analysis</t>
  </si>
  <si>
    <t>Tapiwa, Farai</t>
  </si>
  <si>
    <t>Agrowth Recommendation</t>
  </si>
  <si>
    <t>Vongai, Tapiwa</t>
  </si>
  <si>
    <t>Investments Report</t>
  </si>
  <si>
    <t>Tino, Vongai</t>
  </si>
  <si>
    <t>USD Recommendations</t>
  </si>
  <si>
    <t>Tapiwa, Tapiwa</t>
  </si>
  <si>
    <t>LIST OF USD ASSETS- standard template created for other clients</t>
  </si>
  <si>
    <t>Dairiboard</t>
  </si>
  <si>
    <t>Recommendation for warehouse construction, foundry, solar project</t>
  </si>
  <si>
    <t>Shandurai, Farai</t>
  </si>
  <si>
    <t>Supervisory Agreement/ Consultancy Agreement</t>
  </si>
  <si>
    <t>Farai/Shandu</t>
  </si>
  <si>
    <t>Need to verify numbers for Mandara cluster houses in order to confirm Dairboard additional contributions</t>
  </si>
  <si>
    <t>Shandu/ Farai</t>
  </si>
  <si>
    <t>Clarify investment terms from initial recommendation and supporting documents.</t>
  </si>
  <si>
    <t>Gold Coins</t>
  </si>
  <si>
    <t>To follow up with the nhaka team on nurture status update</t>
  </si>
  <si>
    <t>Econet</t>
  </si>
  <si>
    <t>Short paper on target portfolio structure vs current so as to highlight areas of correction as per IPS</t>
  </si>
  <si>
    <t>Recommendation for Mangwana rights issue</t>
  </si>
  <si>
    <t>Check composition of guaranteed fund, bonus history and postulate if they are likely to declare a bonus this year. You can also check with the FML guys.</t>
  </si>
  <si>
    <t>To evaluate the offer for their Vic Falls property which I circulated weeks back and do a recommendation</t>
  </si>
  <si>
    <t>To Review the property valuation guidelines from SECZ and propose modifications which we can provide as guidance to clients holding properties especially in light of changing economic environment</t>
  </si>
  <si>
    <t>Kuda</t>
  </si>
  <si>
    <t>Paper on VFEX performance- since inception. Zero in on last quarter (graphs, stats, etc will help). Also then talk about why companies are migrating there and possible implications.</t>
  </si>
  <si>
    <t>Lazarus</t>
  </si>
  <si>
    <t>Origen Recommendation –</t>
  </si>
  <si>
    <t>Tapiwa, Tarie</t>
  </si>
  <si>
    <t>Comparison of Agrowth, Origen and the Agrobills</t>
  </si>
  <si>
    <t>Econet PF</t>
  </si>
  <si>
    <t>4Q22 Executive Summary</t>
  </si>
  <si>
    <t>Shandu, Tarie</t>
  </si>
  <si>
    <t>Engen</t>
  </si>
  <si>
    <t>Agrowth recommendation</t>
  </si>
  <si>
    <t>Concerns over their PA status</t>
  </si>
  <si>
    <t>Farai, Shandu, Tarie</t>
  </si>
  <si>
    <t>To send an updated status inclusive of Tigere – PA status likely to go up to 22%</t>
  </si>
  <si>
    <t>FBC Bank Compliance Status</t>
  </si>
  <si>
    <t>Freda Rebecca</t>
  </si>
  <si>
    <t>Recommendation on USD opportunities for consideration by the Trustees (Agrowth, Origen etc).</t>
  </si>
  <si>
    <t>Vongai, Farai, Shandu</t>
  </si>
  <si>
    <t>To provide Trustees with more information on the TDB Offshore opportunity for consideration.</t>
  </si>
  <si>
    <t>Resolution to be passed on Tigere Debenture and North West additional Capital Injection</t>
  </si>
  <si>
    <t>Vongai, Shandu</t>
  </si>
  <si>
    <t>To do due diligence on Mandara Clusters (Smartvest), To create a template and provide a recommendation for the Trustees</t>
  </si>
  <si>
    <t>innscor</t>
  </si>
  <si>
    <t>Mopani Recommendation</t>
  </si>
  <si>
    <t>Shandu</t>
  </si>
  <si>
    <t>October Update</t>
  </si>
  <si>
    <t>Shandu/Vongai</t>
  </si>
  <si>
    <t>IPF</t>
  </si>
  <si>
    <t>Intellego to Update the committee on guidelines for investing in collective investment schemes</t>
  </si>
  <si>
    <t>Tarie, Welcome</t>
  </si>
  <si>
    <t>Mcaz</t>
  </si>
  <si>
    <t>Recommendation for Zimcampus. They want to follow up on their rights</t>
  </si>
  <si>
    <t>Invictus share Linked Note Recommendation</t>
  </si>
  <si>
    <t>Vongai,</t>
  </si>
  <si>
    <t>MIMOSA</t>
  </si>
  <si>
    <t>IPS INPUT FROM CORONATION RISK ADVISORS- Intellego team to meetup with coronation working group to discuss tasks allocated to the team</t>
  </si>
  <si>
    <t>Vongai, Farai, Welcome</t>
  </si>
  <si>
    <t>NOIC</t>
  </si>
  <si>
    <t>Recommendation on Mangwana rights issue and other suitable USD investments</t>
  </si>
  <si>
    <t>Mangwana Rights Issue</t>
  </si>
  <si>
    <t>Tapiwa/ Shandu/Tarie</t>
  </si>
  <si>
    <t>Petrotrade</t>
  </si>
  <si>
    <t>Recommendations on USD investments</t>
  </si>
  <si>
    <t>Farai, Tino</t>
  </si>
  <si>
    <t>PSMAS</t>
  </si>
  <si>
    <t>PF Compliance Roadmap</t>
  </si>
  <si>
    <t>Shandu, Vongai</t>
  </si>
  <si>
    <t>Public Services Pension Fund</t>
  </si>
  <si>
    <t>Expression of Interest</t>
  </si>
  <si>
    <t>Saint Gobain</t>
  </si>
  <si>
    <t>Tapiwa, Shandu</t>
  </si>
  <si>
    <t>SCBZ</t>
  </si>
  <si>
    <t>Recommendation to include all alternative investments in the market which you believe are attractive for the Fund</t>
  </si>
  <si>
    <t>St Johns</t>
  </si>
  <si>
    <t>Considering investing in Nhaka, Tigere and also reducing their exposure to listed equities/</t>
  </si>
  <si>
    <t>Tarie, Shandu</t>
  </si>
  <si>
    <t>Stanbic</t>
  </si>
  <si>
    <t>Concerns arose around their low PA status and the actions they should take in order to boost it.</t>
  </si>
  <si>
    <t>Farai, Tarie</t>
  </si>
  <si>
    <t>The fund agreed to invest in Agrowth and TDB, two assets that both have PA status</t>
  </si>
  <si>
    <t>The Avenues Clinic</t>
  </si>
  <si>
    <t>Vongai, Welcome</t>
  </si>
  <si>
    <t>The Joseph PF</t>
  </si>
  <si>
    <t>Usd investment - requested a recommendation for Sanlam Umbrella Fund and we are currently waiting on information from Zimnat, they said they will send mid next week.</t>
  </si>
  <si>
    <t>Farai, Shandu</t>
  </si>
  <si>
    <t>Zimnat Sanlam Wealth Offshore Investment Opportunity Analysis</t>
  </si>
  <si>
    <t>USD Investment recommendation</t>
  </si>
  <si>
    <t>An analysis of Nhaka focusing on whether they could increase their shareholding</t>
  </si>
  <si>
    <t>TIMB</t>
  </si>
  <si>
    <t>TDB, Agrowth, Mangwana and TSL Warehouse Recommendation</t>
  </si>
  <si>
    <t>Engage Invesci to do two valuations for the warehouse investment – in ZWL and USD</t>
  </si>
  <si>
    <t>Provide Auditors valuation of Mangwana after its approved by its Board (31 March 2023)</t>
  </si>
  <si>
    <t>IPS</t>
  </si>
  <si>
    <t>Tongatt</t>
  </si>
  <si>
    <t>To confirm cash balances and contributions.</t>
  </si>
  <si>
    <t>Tourism Industry PF</t>
  </si>
  <si>
    <t>TRB</t>
  </si>
  <si>
    <t>Mangwana Rights Issue Recommendation</t>
  </si>
  <si>
    <t>Mangwana USD Recommendation</t>
  </si>
  <si>
    <t>Heka Bond Recommendation</t>
  </si>
  <si>
    <t>Mangwana Recommendation</t>
  </si>
  <si>
    <t>Zimnat Life</t>
  </si>
  <si>
    <t>Consultancy Agreement</t>
  </si>
  <si>
    <t>Vongai, Chris</t>
  </si>
  <si>
    <t>Zimplow</t>
  </si>
  <si>
    <t>Gold Coins Recommendations</t>
  </si>
  <si>
    <t>Identify alternative investment opportunities for the Fund to deploy ZWL into USD generating assets</t>
  </si>
  <si>
    <t>31 March Update</t>
  </si>
  <si>
    <t>To  indicate the value of the portfolio at other rates (scenario analysis) in the report and update</t>
  </si>
  <si>
    <t>Zimnat staff PF</t>
  </si>
  <si>
    <t>Review the Asset Split proposal and revert with any feedback by 31 May 2023. Also liase with administrator and asset management on cashflow management modalities under the two sub-accs given that pensioners were largely paid from new contributions (sub-acc 1) whilst their assets are largely in sub-acc 1.</t>
  </si>
  <si>
    <t>OMP to be requested to do their valuation reports in both ZWL and USD</t>
  </si>
  <si>
    <t>Intellego reports to show stress tests of full financial position of the Fund</t>
  </si>
  <si>
    <t>To intensify efforts to go offshore-to URGENTLY submit overall offshore exposure for the Fund to IPEC in application for  investment in TDB (Intellego and OMIG)</t>
  </si>
  <si>
    <t>Review Asset Allocation for the conservative group</t>
  </si>
  <si>
    <t>Property Recommendation</t>
  </si>
  <si>
    <t>Give a recommendation on USD assets (1week)</t>
  </si>
  <si>
    <t>To send monthly reports in time- team to Prioritise</t>
  </si>
  <si>
    <t>Terms of Reference with Discretionary Limits for Investments Committee to be circulated to members for input before tabling for approval at next Trustees meeting</t>
  </si>
  <si>
    <t>Fund requested recommendation on Agrowth as it works on improving PA status.</t>
  </si>
  <si>
    <t>SANDVIK</t>
  </si>
  <si>
    <t>TO COMMUNICATE WITH THE TRUSTEE FOR AN INVESTMENT TRAINING SESSION</t>
  </si>
  <si>
    <t>Zambezi River</t>
  </si>
  <si>
    <t>PA Complinace ,need for a compliance roadmap</t>
  </si>
  <si>
    <t>Send recommended investments for the USD cash sitting in the account; take up with OMIG on contributions sitting in Nostro (Sub-acc 3 all invested in money market)</t>
  </si>
  <si>
    <t>IPS Road map</t>
  </si>
  <si>
    <t>Harvest Capital</t>
  </si>
  <si>
    <t>Due Diligence</t>
  </si>
  <si>
    <t>PPC solar recommendation</t>
  </si>
  <si>
    <t>Recommendation for Leengate housing offer</t>
  </si>
  <si>
    <t>Caledonia Mining Services</t>
  </si>
  <si>
    <t>Green Bond Opportunity</t>
  </si>
  <si>
    <t>Mangwana Rights Issue proposal</t>
  </si>
  <si>
    <t>Datlabs</t>
  </si>
  <si>
    <t>Reconcile the total fund value between CABS and Intellego</t>
  </si>
  <si>
    <t>Provide short report on the unlisted shares and unlisted properties held by the Fund</t>
  </si>
  <si>
    <t>Nhaka to ensure the certificate is serialized by the end of the month.</t>
  </si>
  <si>
    <t>ABCAM to do a write-up and provide more insights into the Tynwald stands to prove the returns generated</t>
  </si>
  <si>
    <t>Concerns over extended delays with the finalization of alternative investment projects regarding the Harava Solar Park and Bulawayo Student accommodation projects. The Trustees had concerns of the viability of these projects as well as their liquidity. May you kindly prepare separate assessment reports for these investments updating Trustees on expected timelines for finalization, presenting your views on the viability of these projects going forward and your recommendations based on those views. May you also provide detail on the ease of disposal/liquidity of these investments and provide illustrative scenarios for the expected gain or loss that may arise depending on the timing of disposal for example if investment were to be liquidated immediately versus after completion. May you also provide your recommendation as far as disposal is concerned.</t>
  </si>
  <si>
    <t>Unlisted Property and equity investments – Trustees requested a write up on these investments. I believe these are held primarily in the form of Astra shares and the Tynwald property investment both held through ABCAM. May you provide your report touching on the same areas as for the alternative investment assessment report.</t>
  </si>
  <si>
    <t>May you kindly reconcile your Prescribed Assets reporting with that of the Custodian so that the correct position may be verified.</t>
  </si>
  <si>
    <t>May you also attend to the issue of the revised Asset Manager agreements we discussed and do this for all the Bulawayo Funds</t>
  </si>
  <si>
    <t>An extended three year USD value trend analysis for the Fund to be shared. In addition, the fund requested recommendations for USD assets in the market.</t>
  </si>
  <si>
    <t>Engage CABS Custodial to advise them of portfolio under ZB Life</t>
  </si>
  <si>
    <t>Minerva to send Intellego copy of CABSCUS SLA. We need to ensure we have copies of all signed SLAs for custodians</t>
  </si>
  <si>
    <t>Correct the PA level after taking into account ZB compliance level</t>
  </si>
  <si>
    <t>Resolution for investment into the TDB bond to be signed and OMIG to utilise USD36k in Nostro into TDB (to reach the 15% limit). OMIG already started process of deployment and expect to be done by July</t>
  </si>
  <si>
    <t>Do a paper to look at pros and cons of guaranteed fund and advise whether and when to exit</t>
  </si>
  <si>
    <t>Reports to show separate USD and ZWL</t>
  </si>
  <si>
    <t>Do two sets of accounts – one for IPEC and another with hyperinflation accounting – to remove the audit qualification</t>
  </si>
  <si>
    <t>Ensure physical split of assets including bank accounts. Asset managers provided the split but haven’t implemented as yet.</t>
  </si>
  <si>
    <t>Report separately USD and ZWL assets. We can do this as an appendix as the main reporting currency for sub-Fund 1 and 2 remains ZWL.</t>
  </si>
  <si>
    <t>Member education to ensure members don’t over-rely on pensions and have own investments e.g. savings into Nhaka retail product. Also look at increasing employer contributions (Minerva).</t>
  </si>
  <si>
    <t>Nhaka to serialise share certificates and produce every year (client can still verify every quarter)</t>
  </si>
  <si>
    <t>Datvest to circulate the solar project proposal</t>
  </si>
  <si>
    <t>Agrowth Recomendation</t>
  </si>
  <si>
    <t>Completion of guidelines on collective investment schemes</t>
  </si>
  <si>
    <t>Update on addendums amendments for the Asset Managers agreements to incorporate the new guidelines by IPEC</t>
  </si>
  <si>
    <t>To conduct a performance analysis report on all the Asset Managers based on all factors highlighted in the meeting pack</t>
  </si>
  <si>
    <t>USD Recommendations as client has a usd balance ready for deployment</t>
  </si>
  <si>
    <t>Zimgas Investment opportunity</t>
  </si>
  <si>
    <t>Nhaka</t>
  </si>
  <si>
    <t>NSSA PF</t>
  </si>
  <si>
    <t>asset manager fees evaluation</t>
  </si>
  <si>
    <t>Carrick Creagh development funding; pending finalization, initial analysis has been shared with key stakeholders (target date 23/12/22)</t>
  </si>
  <si>
    <t>We were tasked with coming up with the best fixed income instruments of a short term with PA status that the Fund can invest its USD balances in.</t>
  </si>
  <si>
    <t>Track the outstanding rental on Mbano and ensure its included in the reports. Need to lobby with the other institutional shareholder (Tongaat funds) to push for a conversion of the outstanding rentals into equity. Conduct a revaluation of the property once rentals start flowing in.</t>
  </si>
  <si>
    <t>Mount Pleasant Landbank Proposals - Review</t>
  </si>
  <si>
    <t>Send recommendations for Mangwana and Nhaka for approval by Trustees via round-robin</t>
  </si>
  <si>
    <t>Astra</t>
  </si>
  <si>
    <t>Comments on property valuations methods currently being used were requested, team to generate guidelines for property and all alternative investments and set workshop inhouse before circulating to clients and SEC.</t>
  </si>
  <si>
    <t>Engage CABS Custodial to advise them on portfolio under ZB Life</t>
  </si>
  <si>
    <t>A recommendation for Frontier Real Estate Debenture-Intellego</t>
  </si>
  <si>
    <t>Saint-Gobain</t>
  </si>
  <si>
    <t>Historic Performance over a long term period -3years to track Performance of the Fund</t>
  </si>
  <si>
    <t>In terms of timeline for the investments- Nhaka Investment then start looking at the 15% foreign offshore investment exposure</t>
  </si>
  <si>
    <t>Nhaka – include option for members to get biological assets.</t>
  </si>
  <si>
    <t>Dairibord</t>
  </si>
  <si>
    <t>TSL Warehouse Investment opportunity</t>
  </si>
  <si>
    <t>Hippo</t>
  </si>
  <si>
    <t>Do a revised Compliance Plan/Roadmap incorporating all new developments and expected cashflow movements and share with the IC. Engagements to be held with IC and Minerva if this can be shared with the regulator as yet.</t>
  </si>
  <si>
    <t>Furnish Trustees with more information on Nhaka and get Kevin to present to the members if need be.</t>
  </si>
  <si>
    <t>Minerva</t>
  </si>
  <si>
    <t>To revise Asset allocation for conservative group</t>
  </si>
  <si>
    <t>Minerva Copvol</t>
  </si>
  <si>
    <t>Trustees proposing increased exposure to Origen.</t>
  </si>
  <si>
    <t>Seedco</t>
  </si>
  <si>
    <t>Tidy up reporting to show USD assets and ZWL assets separately</t>
  </si>
  <si>
    <t>Recalculate the exposure to Delta as at 31 May 2023 after the recent movement in the interbank auction rate and advise the IC Chair for any action if over-exposure remains.</t>
  </si>
  <si>
    <t>Reconcile the Property figures</t>
  </si>
  <si>
    <t>IPS finalisation after incorporating input from Risk Committee</t>
  </si>
  <si>
    <t>There is need to do some deep dive as a committee in terms of carrying out the split in assets so that the end result preserves value on both the Actives and non-actives - Actives moving to the new buyer and the non-actives finding a new home- available options: Unitisation?</t>
  </si>
  <si>
    <t>MMCPF</t>
  </si>
  <si>
    <t>Risk and Compliance</t>
  </si>
  <si>
    <t>Circulate pension fund performance survey comparison</t>
  </si>
  <si>
    <t>To help OMIG in seeking clarity on the Copper Meadows property from Atria or property world</t>
  </si>
  <si>
    <t>To consolidated with the two asset managers on the TDB investment so as ensure that the investment does not exceed the 15% threshold</t>
  </si>
  <si>
    <t>Invesci- To Follow up on the valuations, their strategy on Property and usd cash balances</t>
  </si>
  <si>
    <t>Omig- Value on excising the econet rights and meeting will be held on the 8th</t>
  </si>
  <si>
    <t>Intellego to look at the possibility of packaging Goodhope and Mount Pleasant into a REIT</t>
  </si>
  <si>
    <t>Engage OMIG on how the Fund can participate in Balltech despite their low Fund size</t>
  </si>
  <si>
    <t>EY</t>
  </si>
  <si>
    <t>To receive data on contributions from minerva</t>
  </si>
  <si>
    <t>Trustees requested for the 1Q23 report to be shared</t>
  </si>
  <si>
    <t>Evaluate and calculate how much more the Fund can invest through NBS to unlock more mortgage loans for members as there were many still on waiting list and previous limit had been breached. Consider migrating to a USD scheme.</t>
  </si>
  <si>
    <t>Report</t>
  </si>
  <si>
    <t>Mimosa the investment report for the Fund as at 31 March 2023 for noting by the Committee Members</t>
  </si>
  <si>
    <t>Separate report for equities between local equities and foreign (including VFEX) equities</t>
  </si>
  <si>
    <t>Draft PA Compliance Plan for IPEC and also engage Chair and Stephen Nyabadza on applying for PA status for the Grainbags project</t>
  </si>
  <si>
    <t>Nhaka investment – make recommendations for the Fund to invest incoming USD contributions into Nhaka. Also consider other assets we can invest USD contributions for investment. Nhaka to be considered for personal retirement planning for members as well (Minerva). Come up with a proposal in liaison with Minerva. Also consider consortiums for segregated herds.</t>
  </si>
  <si>
    <t>Intellego to circulate information on the Eastern and Southern African Trade Fund investment opportunity and (ii) also to relook at your benchmarks</t>
  </si>
  <si>
    <t>An independent evaluation to go in support of the IC’s recommendation for the Dabuka investment to the Trustees - 15/09/2023</t>
  </si>
  <si>
    <t>Intellego to share A paper on the Greenfields Recommendation before 15/09/2023 - Target 5% into Greenfields Investment – Rollover the 100k previously invested in the Frontier maturing on the 26th of Sep</t>
  </si>
  <si>
    <t>To do a recommendation on the Tigere Debenture once we finalize our due dilligence</t>
  </si>
  <si>
    <t>GREENFIELDS RECOMMENDATION</t>
  </si>
  <si>
    <t>Intellego to re-negotiate fees for Nhaka arguing for either a reduction in the management fees as an alternative to reducing the incentive fees. Or ask that the agreement captures that the fee will come down once the value reaches $100k.</t>
  </si>
  <si>
    <t>Submit a recommendation on TDB by end of week including determination of which of the two asset managers – OMIG and Imara – should subscribe for how much</t>
  </si>
  <si>
    <t>Propose exposure and funding for Greenfields debenture to enable Fund to make a formal commitment</t>
  </si>
  <si>
    <t>Haggie Rand</t>
  </si>
  <si>
    <t>Recommendation on Tigere Greenfields</t>
  </si>
  <si>
    <t>To circulate a proposal for the offshore investment under zam- sanlam and TDB</t>
  </si>
  <si>
    <t>Recommendation done and awaiting Review</t>
  </si>
  <si>
    <t>Put together a nhaka paper – analysis- track record- get insurance backed up facts if possible</t>
  </si>
  <si>
    <t>ongoing- Report is being Finalised</t>
  </si>
  <si>
    <t>Recommendations- Fund to invest USD100K in nhaka, zam-sanlam USD100K, TDB – 11% of the Fund, 5% on Greenfields</t>
  </si>
  <si>
    <t>Intellego to issue Origen and Greenfields debenture recommendations by Friday 22 Sept 2023</t>
  </si>
  <si>
    <t>Come up with governance mechanisms for operator-property owner (PropCo-OpCo) relationships in the wake of challenges with Mbano and Baines Intercare</t>
  </si>
  <si>
    <t>Datvest to accrue and report on Mbano arrears and also charge interest so that we are all aware. As Intellego we may also need to track this.</t>
  </si>
  <si>
    <t>Nhaka site-visit to be arranged by administrator;</t>
  </si>
  <si>
    <t>To work on the Greenfields debenture, and Eagle Reit Recommendations- Focusing on the Funding aspect</t>
  </si>
  <si>
    <t>Do a comprehensive proposal on Nhaka including returns, attractions, fees, breeds, security, custodial arrangements, ownership transfer, etc for sign-off…differentiate option for member withdrawal from a biological asset investment. Need to educate members. Set minimum number of years served. Check with Nhaka if investing in non-pedigree will still qualify for PA.</t>
  </si>
  <si>
    <t>Nhaka investment proposal to be finalized and presented at upcoming Trustees;</t>
  </si>
  <si>
    <t>MCAZ</t>
  </si>
  <si>
    <t>Administrator organising a breakfast meeting for Alternative investments-to officially invite stakeholders including Intellego</t>
  </si>
  <si>
    <t>NBS</t>
  </si>
  <si>
    <t>Report on sub-Acc 3 and ensure all asset managers (particularly ABCAM) separate their portfolios on a monthly basis</t>
  </si>
  <si>
    <t>Check if the IPS requires to be reviewed</t>
  </si>
  <si>
    <t>We had a matters arising on reviewing Asset Manager mandates and I just responded that these were done…kindly confirm?</t>
  </si>
  <si>
    <t>Financial review submitted to IPEC ,now waiting for response-Minerva</t>
  </si>
  <si>
    <t>Next Trustees meeting scheduled for 30/11/2023-Minerva</t>
  </si>
  <si>
    <t>Minerva to organise an induction for the new investment committee members and the new IPS workshop once it has been signed and approved</t>
  </si>
  <si>
    <t>Minerva to arrange a tour of the properties around Harare for the new members in the committee</t>
  </si>
  <si>
    <t>Cargo Carriers</t>
  </si>
  <si>
    <t>•Zimnat Sanlam Wealth Fund Recommendation</t>
  </si>
  <si>
    <t>•Agrowth Recommendation</t>
  </si>
  <si>
    <t>•Update TDB investment numbers</t>
  </si>
  <si>
    <t>Goldridge</t>
  </si>
  <si>
    <t>•TDB recommendation through Platinum</t>
  </si>
  <si>
    <t>•IPS Review</t>
  </si>
  <si>
    <t>•UDCORP  housing scheme recommendation</t>
  </si>
  <si>
    <t>•Propose new asset manager mandates</t>
  </si>
  <si>
    <t>•Draft asset manager SLA's and propse a perfomance related fee structure for alternative investments</t>
  </si>
  <si>
    <t>Chris</t>
  </si>
  <si>
    <t>Debshan</t>
  </si>
  <si>
    <t>•Sanlam Wealth Fund Recommendation</t>
  </si>
  <si>
    <t>•Greenfields Debenture Recommendation</t>
  </si>
  <si>
    <t>•TDB Recommendation</t>
  </si>
  <si>
    <t>•VFSL Recommendation</t>
  </si>
  <si>
    <t>•Include IPEC limits in IPS</t>
  </si>
  <si>
    <t>Zimsec</t>
  </si>
  <si>
    <t>•Heka Bond Recommendation</t>
  </si>
  <si>
    <t>URL</t>
  </si>
  <si>
    <t>•A paper on asset manager's perfomance and our recommendations</t>
  </si>
  <si>
    <t>•TDB recommendation</t>
  </si>
  <si>
    <t>Shandu/Tari</t>
  </si>
  <si>
    <t>•Greenfields Recommendation</t>
  </si>
  <si>
    <t>Lazie</t>
  </si>
  <si>
    <t>Caaz</t>
  </si>
  <si>
    <t>•An extended three year USD value trend analysis for the Fund to be shared.</t>
  </si>
  <si>
    <t>•Recommendations for USD assets in the market.</t>
  </si>
  <si>
    <t>• Prepare a proposal to give the Fund options on offshore investments</t>
  </si>
  <si>
    <t>Brands Africa</t>
  </si>
  <si>
    <t>•Tigere Recommendation</t>
  </si>
  <si>
    <t>•UDCORP Property Analysis</t>
  </si>
  <si>
    <t>St Gobain</t>
  </si>
  <si>
    <t>• TDB Recommendation</t>
  </si>
  <si>
    <t>Unilever</t>
  </si>
  <si>
    <t>•Origen Recommendation</t>
  </si>
  <si>
    <t>Shandu/Tino</t>
  </si>
  <si>
    <t>•Recommendation on the Sanlam Wealth Fund</t>
  </si>
  <si>
    <t>•Recommendation on TDB</t>
  </si>
  <si>
    <t>Hippo Valley</t>
  </si>
  <si>
    <t>•Recommendation on Sanlam Wealth Fund</t>
  </si>
  <si>
    <t>•To include offshore strategy within the IPS (SAA)</t>
  </si>
  <si>
    <t>Tari/Shandu</t>
  </si>
  <si>
    <t>•A paper on Funding options for 1 Shirley drive Property</t>
  </si>
  <si>
    <t>• Sanlam offshore Investment proposal and recommendation</t>
  </si>
  <si>
    <t>• Greenfield (Tigere) Alternative Investment proposal and recommendation</t>
  </si>
  <si>
    <t>Tapiwa/Tari</t>
  </si>
  <si>
    <t>•IPS Completion</t>
  </si>
  <si>
    <t>•IPS Completion and Tor</t>
  </si>
  <si>
    <t>Greenfields</t>
  </si>
  <si>
    <t>•Zimgold C/P</t>
  </si>
  <si>
    <t>Tari/Tapiwa</t>
  </si>
  <si>
    <t>•Zimnat Money Market</t>
  </si>
  <si>
    <t>•Eagle Reit</t>
  </si>
  <si>
    <t>•February Update</t>
  </si>
  <si>
    <t>•Request to advise on the maximum amount that the fund can put in a mortgage scheme</t>
  </si>
  <si>
    <t>The Joseph</t>
  </si>
  <si>
    <t>•TDB and Sanlam Wealth recommendations</t>
  </si>
  <si>
    <t>Nyasha</t>
  </si>
  <si>
    <t>• Nhaka recommendation for the consortium</t>
  </si>
  <si>
    <t>Tino/Tapiwa</t>
  </si>
  <si>
    <t>Barclays</t>
  </si>
  <si>
    <t>• Intellego to issue a recommendation for Zimnat Financial services paper</t>
  </si>
  <si>
    <t>•Advise the client on how to thandlr proceeds from the Afreximbank shares in line with the  custodial agreement</t>
  </si>
  <si>
    <t>•One Pager on Troubled investments</t>
  </si>
  <si>
    <t>•Eagle REIT Recommendation</t>
  </si>
  <si>
    <t>• List fixed income instruments under the fund's portfolio and their maturity dates</t>
  </si>
  <si>
    <t>Barclays House Proposals</t>
  </si>
  <si>
    <t>Makasa Sun Funds Strategy</t>
  </si>
  <si>
    <t>•Schedule of fees paid to asset managers</t>
  </si>
  <si>
    <t>•Recommendation on Invictus DRs</t>
  </si>
  <si>
    <t>•Recommendation on Eagle REIT</t>
  </si>
  <si>
    <t>•Analysis for the client to convert its current contract to a cattle backed investment.</t>
  </si>
  <si>
    <t>•Advisory Note on Centragrid Debt</t>
  </si>
  <si>
    <t>Lazie/Tari</t>
  </si>
  <si>
    <t>Lazie/Tarie</t>
  </si>
  <si>
    <t>• Comparison of current asset class exposures to IPEC limit</t>
  </si>
  <si>
    <t>Tapiwa/Tino</t>
  </si>
  <si>
    <t>•Mortgage Recommendation</t>
  </si>
  <si>
    <t>•Investment rationalizing plan in line with the revised investment guidelines for thr pension funds, including compliance with the minimum 20%</t>
  </si>
  <si>
    <t>•Invictus Recommendation</t>
  </si>
  <si>
    <t>•Compliance Roadmap</t>
  </si>
  <si>
    <t>Tari/Nyasha</t>
  </si>
  <si>
    <t>•Update report</t>
  </si>
  <si>
    <t>Tari/Anesu</t>
  </si>
  <si>
    <t>•Recommendation on Vakayi</t>
  </si>
  <si>
    <t>•Recommendation on which assets to liquidate</t>
  </si>
  <si>
    <t>•Appraisal for CT Bere on Fairview property</t>
  </si>
  <si>
    <t>•CAA recommendation</t>
  </si>
  <si>
    <t>•Asset Manager fees research Paper</t>
  </si>
  <si>
    <t>•Eagle Recommendation</t>
  </si>
  <si>
    <t>Shangani Holistic</t>
  </si>
  <si>
    <t>•Previous performances of the asset managers</t>
  </si>
  <si>
    <t>•Mangwana Rights Issue Recommendation</t>
  </si>
  <si>
    <t>Goldridge Schools</t>
  </si>
  <si>
    <t>•Kirkman Recommendation</t>
  </si>
  <si>
    <t>•ANALYSIS OF FUND HISTROICAL PERFORMANCE AND RECOMMENDATION OF ALLOCATION OF CONTRIBUTIONS</t>
  </si>
  <si>
    <t>Anesu/Tari</t>
  </si>
  <si>
    <t>Masiye</t>
  </si>
  <si>
    <t>•Recommendation on other asset managers that the Fund can consider</t>
  </si>
  <si>
    <t>•Request of a list of other member benefits outside of the pension scheme</t>
  </si>
  <si>
    <t>Shangani Holistics</t>
  </si>
  <si>
    <t>•A paper on asset manager selection</t>
  </si>
  <si>
    <t>Nyasha/Tatenda</t>
  </si>
  <si>
    <t>• Mortgage Addition  Recommendation</t>
  </si>
  <si>
    <t>•Contribution Channeling Strategy</t>
  </si>
  <si>
    <t>•Sanlam Recommendation</t>
  </si>
  <si>
    <t>Stanchart</t>
  </si>
  <si>
    <t>•To prepare mandates for SCBZ P/F medical aid and Pensioners ex-gratia.</t>
  </si>
  <si>
    <t>•Update asset manager Mandates</t>
  </si>
  <si>
    <t>AGS</t>
  </si>
  <si>
    <t>TDB Recommendation</t>
  </si>
  <si>
    <t>Anesu</t>
  </si>
  <si>
    <t>•Review of current contribution allocation strategy among asset managers</t>
  </si>
  <si>
    <t>Sandvik</t>
  </si>
  <si>
    <t>TDB,Agrowth and Eagle recommendations</t>
  </si>
  <si>
    <t>Eagle recommendation</t>
  </si>
  <si>
    <t>Recommendation on Pandora property disposal</t>
  </si>
  <si>
    <t>Recommendation on Brick and Mortar vote as well as Glenforest property investment</t>
  </si>
  <si>
    <t>Eagle REIT Recommendation</t>
  </si>
  <si>
    <t>Villa Monte Analysis</t>
  </si>
  <si>
    <t>TDB recommendation</t>
  </si>
  <si>
    <t>Update Offshore Investments recommendation</t>
  </si>
  <si>
    <t>•Assess whether the Assets transferring from MIPF are quality assets</t>
  </si>
  <si>
    <t>Welcome/Tatenda</t>
  </si>
  <si>
    <t>•Recommend on how the Fund can dispose some of its properties and where the proceeds should be channelled to.</t>
  </si>
  <si>
    <t>Recommendations on tdb,sanlam,Agrowth and Eagle</t>
  </si>
  <si>
    <t>Recommend Disinvestment Proportion</t>
  </si>
  <si>
    <t>Portfolio Risk Analysis</t>
  </si>
  <si>
    <t>•  Recommendation was done and went through review.</t>
  </si>
  <si>
    <t>Draft done pending internal review by the team</t>
  </si>
  <si>
    <t>Recommendation on how to generate liquidity for Mortgage</t>
  </si>
  <si>
    <t>Girls Colledge</t>
  </si>
  <si>
    <t>Offshore investments list</t>
  </si>
  <si>
    <t>•Review of Trustees TOR</t>
  </si>
  <si>
    <t>Marsh</t>
  </si>
  <si>
    <t>Portfolio US$ :zwg split</t>
  </si>
  <si>
    <t>AGM report</t>
  </si>
  <si>
    <t>Review of the Borrowdale Brooke Property( In terms of Sale of Property)</t>
  </si>
  <si>
    <t>Provide short-term investment instruments avaiable and associated costs</t>
  </si>
  <si>
    <t>Minerva Fund</t>
  </si>
  <si>
    <t>Provide asset manager performance survey</t>
  </si>
  <si>
    <t>Tino /Tatenda</t>
  </si>
  <si>
    <t>Fees recommendations regarding Alternative Investments</t>
  </si>
  <si>
    <t>MTC</t>
  </si>
  <si>
    <t>3yr Asset Manager Perfomance Analysis</t>
  </si>
  <si>
    <t>Asset Manager Fees Monitoring</t>
  </si>
  <si>
    <t>To do a standard template for property investments for clarity.</t>
  </si>
  <si>
    <t>To separately assess the performance for Sub-account 3.</t>
  </si>
  <si>
    <t>To confirm with asset managers how they are handling failure risk due to investing in microfinance banks, especially small asset managers.</t>
  </si>
  <si>
    <t>3 yr Asset manager perfomance analysis</t>
  </si>
  <si>
    <t>To correct errors on the fund performance results included in the pack and send the updated performance results to the trustees.</t>
  </si>
  <si>
    <t>Analysis of Banks securitisation (Tier 1,2,3)</t>
  </si>
  <si>
    <t>Design Quarter Recommendation</t>
  </si>
  <si>
    <t>To provide a recommendation paper on the smart suburb rights issue for consideration by the Board</t>
  </si>
  <si>
    <t>To reconcile Fund Values with asset manager values for Uniformity</t>
  </si>
  <si>
    <t>Nhaka fees recommendation</t>
  </si>
  <si>
    <t>Platinum to complete the transaction for the purchase of Villa Montemarte flat for the Fund by Sept 30,2025</t>
  </si>
  <si>
    <t>Minerva Risk Advisors</t>
  </si>
  <si>
    <t>Recommendation on which assets to liquidate to cover exiting member benefits</t>
  </si>
  <si>
    <t>Request to asses viable property investment opportunities under NBS that the Fund can invest in</t>
  </si>
  <si>
    <t>To work on asset manager mandates and IPS to incorperate prior approval requirements for offshore investments</t>
  </si>
  <si>
    <t>To facilitate new asset manager selection</t>
  </si>
  <si>
    <t>Tariro</t>
  </si>
  <si>
    <t>Recommendation on  design quarter</t>
  </si>
  <si>
    <t>FBC PF</t>
  </si>
  <si>
    <t>Intellego was requested  to share a recommendation on the Villa Montmarte investment, including its impact on the overall portfolio</t>
  </si>
  <si>
    <t>Recommendation on TDB and Design Quarter</t>
  </si>
  <si>
    <t>To do an analysis of Asset Manager performance since inception and engage ZAM</t>
  </si>
  <si>
    <t>Josephs PF</t>
  </si>
  <si>
    <t>Intellego to release a recommendation for Zimcampus rights issue</t>
  </si>
  <si>
    <t>Intellego to send a schedule of Investments in the market</t>
  </si>
  <si>
    <t>To revisit the agreements to determine the asset manager fees are favorable to the fund.</t>
  </si>
  <si>
    <t>Tari/Tatenda</t>
  </si>
  <si>
    <t>To come up with a report on fees to ensure fees charged by asset managers are standard.</t>
  </si>
  <si>
    <t>5 year perfomance of theFund</t>
  </si>
  <si>
    <t>Updated IPS</t>
  </si>
  <si>
    <t>Recommendation on  Sanlam</t>
  </si>
  <si>
    <t>Recommendation on Eagle REIT</t>
  </si>
  <si>
    <t>Perfomance Survey</t>
  </si>
  <si>
    <t>To liase with CABS with regards to the differences on PA status values to understand the source of variance</t>
  </si>
  <si>
    <t>Tino/Tatenda</t>
  </si>
  <si>
    <t>Eagle Reit Conversion Analysis</t>
  </si>
  <si>
    <t>2020-2024 Investment Summaries</t>
  </si>
  <si>
    <t>Collective Invesments Schedule</t>
  </si>
  <si>
    <t>Simbisa Brands</t>
  </si>
  <si>
    <t>September Update</t>
  </si>
  <si>
    <t>5 year  Perfomance</t>
  </si>
  <si>
    <t>Recommendation on which assets to trasfer from Sub Account B to Sub Account A post benefit payments</t>
  </si>
  <si>
    <t>To provide a compliance on PA status</t>
  </si>
  <si>
    <t>3 year asset  manager perfomance</t>
  </si>
  <si>
    <t>Provide an analysis on the viability of the the Nhaka investment</t>
  </si>
  <si>
    <t>Updated asset manager mandates</t>
  </si>
  <si>
    <t>To ask Nhaka on the possibilities of the Fund exiting before the 3 years and the possible implications to the Fund</t>
  </si>
  <si>
    <t>To do a paper on how the Fund should move forward since its now in paid up status</t>
  </si>
  <si>
    <t>To do a 5-year performance comparison of the 2 asset managers</t>
  </si>
  <si>
    <t>Sandvik requested recommendation for offshore which Zimnat proposed take lead. We will be doing follow-ups.</t>
  </si>
  <si>
    <t>Provide performance analysis of the Victoria Falls Stock Exchange (VFEX), focusing on its relevance to the Fund's current or potential exposure and alignment with its long-term investment strategy.</t>
  </si>
  <si>
    <t>Assess the potential impact of Zimbabwe's anticipated shift to a mono-currency regime on the Fund’s local and offshore investment positioning, offering insights on future opportunities and risks</t>
  </si>
  <si>
    <t>Innscor Africa</t>
  </si>
  <si>
    <t>Loan Payment  TermSheet</t>
  </si>
  <si>
    <t>Recommendation on how to invest funds</t>
  </si>
  <si>
    <t>Our next report to include a detailed analysis on how the PAs are performing and Intellego is required to organise a strategy workshop on how SAA can be applied into strategy when conditions change</t>
  </si>
  <si>
    <t>FCB</t>
  </si>
  <si>
    <t>IC Board Terms of reference</t>
  </si>
  <si>
    <t>Feasibility of Mortgage Facility for Active Members</t>
  </si>
  <si>
    <t>Girls College</t>
  </si>
  <si>
    <t>Asset Manager Shortlist</t>
  </si>
  <si>
    <t>Lafarge</t>
  </si>
  <si>
    <t>One pager on suitability of receiving Tbills as contribution arrears</t>
  </si>
  <si>
    <t>20.3.2026</t>
  </si>
  <si>
    <t xml:space="preserve">Innscor </t>
  </si>
  <si>
    <t>Perfomance Analysis from January 2017 to September 2025</t>
  </si>
  <si>
    <t xml:space="preserve">Update on Member loan term sheet </t>
  </si>
  <si>
    <t>16 .3.2026</t>
  </si>
  <si>
    <t>Paper on the impact on the members and the Copany if they adopt the ZWG as the Mono Currency</t>
  </si>
  <si>
    <t>On going</t>
  </si>
  <si>
    <t>Nothing has been done yet on this action item. To be actioned in the next client report</t>
  </si>
  <si>
    <t>This is to be addressed in the Fund's Strategy Session that is to be scheduled by the Administrator</t>
  </si>
  <si>
    <t>This is to be included in the next client report</t>
  </si>
  <si>
    <t xml:space="preserve">Still compiling data </t>
  </si>
  <si>
    <t>Requested the information and necessary data from the asset manager without a response</t>
  </si>
  <si>
    <t>Welcome is to communicate with the CEO of Cimas  to see whether they are still buying shares on the medical investment.</t>
  </si>
  <si>
    <t xml:space="preserve">Bright </t>
  </si>
  <si>
    <t>Recommendation on PA and Offshore Investments</t>
  </si>
  <si>
    <t>Harava Solar Recommendation on Impairement</t>
  </si>
  <si>
    <t>Data has been requested</t>
  </si>
  <si>
    <t>MIWF</t>
  </si>
  <si>
    <t>OMIG Agreement Draft</t>
  </si>
  <si>
    <t>26.3.2026</t>
  </si>
  <si>
    <t>24.3.2026</t>
  </si>
  <si>
    <t xml:space="preserve">Mimosa </t>
  </si>
  <si>
    <t>Liquidity Analysis</t>
  </si>
  <si>
    <t>Makasa Sun Strategy Review</t>
  </si>
  <si>
    <t>25.3.2026</t>
  </si>
  <si>
    <t>Centrawest Recommendation</t>
  </si>
  <si>
    <t>1.4.2026</t>
  </si>
  <si>
    <t xml:space="preserve">Falcon </t>
  </si>
  <si>
    <t xml:space="preserve">Done </t>
  </si>
  <si>
    <t xml:space="preserve">Tari </t>
  </si>
  <si>
    <t>7.4.2026</t>
  </si>
  <si>
    <t>IPS  Review</t>
  </si>
  <si>
    <t>ABCAM Termination Procedure</t>
  </si>
  <si>
    <t>Isaac</t>
  </si>
  <si>
    <t>10.4.2026</t>
  </si>
  <si>
    <t>Draft in place pending review</t>
  </si>
  <si>
    <t>Analysis comparing the merits of the Bambanani renovations versus disposing of the property</t>
  </si>
  <si>
    <t>ZAPF</t>
  </si>
  <si>
    <t>IPS Formulation</t>
  </si>
  <si>
    <t>Elvis</t>
  </si>
  <si>
    <t>Mortgage pass though fund</t>
  </si>
  <si>
    <t>The Fund has requested an Adhoc meeting with the asset manager first , before issuing our recommendation</t>
  </si>
  <si>
    <t>The data required for the analysis was requested  without a response yet</t>
  </si>
  <si>
    <t>Update on Nhaka recommendation</t>
  </si>
  <si>
    <t>14.4.2026</t>
  </si>
  <si>
    <t>Trevor Dollar Investment Analysis</t>
  </si>
  <si>
    <t>Addressed</t>
  </si>
  <si>
    <t>5 Year Asset manager Perfomances</t>
  </si>
  <si>
    <t xml:space="preserve">VFEX portfolio and strategy assessment </t>
  </si>
  <si>
    <t>15.4.2026</t>
  </si>
  <si>
    <t>The asset is not yet investor ready given that the funds required are mostly dependent on the finalisation of the the Brick and Mortar Project.</t>
  </si>
  <si>
    <t>Requested for the data required for this action item , yet to get a response from the administrator</t>
  </si>
  <si>
    <t>Requested the information and necessary data from the administrator without a response</t>
  </si>
  <si>
    <t xml:space="preserve">Assessment of the NBS and POSB schemes to conduct an analysis of which to invest in </t>
  </si>
  <si>
    <t>Tapwa</t>
  </si>
  <si>
    <t>8.4.2026</t>
  </si>
  <si>
    <t>This was circulated for review yet to get feedback</t>
  </si>
  <si>
    <t>Cross checking 2023 performance numbers with the report sent to Client.</t>
  </si>
  <si>
    <t>Eagle Mortgage Pass Through</t>
  </si>
  <si>
    <t>Draft is currently under review</t>
  </si>
  <si>
    <t>Still inputing review  feedback</t>
  </si>
  <si>
    <t>Dominium Global Fund</t>
  </si>
  <si>
    <t>Sanlam Recommendation</t>
  </si>
  <si>
    <t>Waiting for asset manager to share the due dilligence questionnier by thr 17th of April.</t>
  </si>
  <si>
    <t>Requested for updated perfomance reports on the asset , yet to receive this informantion</t>
  </si>
  <si>
    <t>Due dilligence still underway</t>
  </si>
  <si>
    <t xml:space="preserve">Requested data only received Fund Rules </t>
  </si>
  <si>
    <t>Received Data excluding replacement ratios</t>
  </si>
  <si>
    <t>Data was received from the administrator excluding replacement ratios</t>
  </si>
  <si>
    <t>Mortgage Advisory Note</t>
  </si>
  <si>
    <t>17.4.2026</t>
  </si>
  <si>
    <t>Isaac/Tari</t>
  </si>
  <si>
    <t>Mangwana Bridging Finance</t>
  </si>
  <si>
    <t>Week of 17 April  2026</t>
  </si>
  <si>
    <t>CLIENT ACTION ITEMS  ·  As at 17 April 2026</t>
  </si>
  <si>
    <t>Review and issue recommendations on the NBS mortgage proposal including funding method assuming adoption and comparison with alternative investment options</t>
  </si>
  <si>
    <t>23.4.2026</t>
  </si>
  <si>
    <t xml:space="preserve">ABC </t>
  </si>
  <si>
    <t>21.4.2026</t>
  </si>
  <si>
    <t xml:space="preserve">The Joseph </t>
  </si>
  <si>
    <t>19.4.2026</t>
  </si>
  <si>
    <t>Update on the Contributions Arrears considering the actuarial valuation</t>
  </si>
  <si>
    <t>Mortgage pass though fund-Recommendation</t>
  </si>
  <si>
    <t xml:space="preserve">Requested contractor profiles and other necessary information for an analysis,However the project is not yet ready and is highly dependent on the brick and Mortar Project </t>
  </si>
  <si>
    <t>Draft was circulated for review</t>
  </si>
  <si>
    <t>NBS proposal recommendation and analysis</t>
  </si>
  <si>
    <t>The data was received and the request is being actioned by IREA</t>
  </si>
  <si>
    <t>IREA</t>
  </si>
  <si>
    <t>Deep Dive Mangwana Perfomance Since Inception</t>
  </si>
  <si>
    <t xml:space="preserve">NSSA </t>
  </si>
  <si>
    <t>Asset manager perfomance assesment in comparison to objectives set in the previous strategy</t>
  </si>
  <si>
    <t>OMIG Agreement sent to client</t>
  </si>
  <si>
    <t>Performance Analysis done, to circulate for team members review</t>
  </si>
  <si>
    <t>To circulate amended draft to team members</t>
  </si>
  <si>
    <t>Sanlam Recommendation Done</t>
  </si>
  <si>
    <t>DONE</t>
  </si>
  <si>
    <t>Assesment on suitability of property invesrment opportunity was done.</t>
  </si>
  <si>
    <t>Draft was circulated for review by 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</si>
</sst>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8"/>
      <color rgb="FFFFFFFF"/>
      <name val="Arial"/>
      <family val="2"/>
    </font>
    <font>
      <i/>
      <sz val="11"/>
      <color rgb="FFFFFFFF"/>
      <name val="Arial"/>
      <family val="2"/>
    </font>
    <font>
      <b/>
      <sz val="9"/>
      <color rgb="FFFFFFFF"/>
      <name val="Arial"/>
      <family val="2"/>
    </font>
    <font>
      <b/>
      <sz val="9"/>
      <color rgb="FF1A1A2E"/>
      <name val="Arial"/>
      <family val="2"/>
    </font>
    <font>
      <b/>
      <sz val="22"/>
      <color rgb="FF1B2A4A"/>
      <name val="Arial"/>
      <family val="2"/>
    </font>
    <font>
      <b/>
      <sz val="22"/>
      <color rgb="FF217346"/>
      <name val="Arial"/>
      <family val="2"/>
    </font>
    <font>
      <b/>
      <sz val="22"/>
      <color rgb="FF2E5FA3"/>
      <name val="Arial"/>
      <family val="2"/>
    </font>
    <font>
      <b/>
      <sz val="22"/>
      <color rgb="FFF4B942"/>
      <name val="Arial"/>
      <family val="2"/>
    </font>
    <font>
      <b/>
      <sz val="22"/>
      <color rgb="FFE8722A"/>
      <name val="Arial"/>
      <family val="2"/>
    </font>
    <font>
      <sz val="9"/>
      <color rgb="FF1A1A2E"/>
      <name val="Arial"/>
      <family val="2"/>
    </font>
    <font>
      <b/>
      <sz val="13"/>
      <color rgb="FFFFFFFF"/>
      <name val="Arial"/>
      <family val="2"/>
    </font>
    <font>
      <i/>
      <sz val="9"/>
      <color rgb="FF595959"/>
      <name val="Arial"/>
      <family val="2"/>
    </font>
    <font>
      <b/>
      <sz val="9"/>
      <color rgb="FF1F4E79"/>
      <name val="Arial"/>
      <family val="2"/>
    </font>
    <font>
      <b/>
      <sz val="9"/>
      <color rgb="FF9C6500"/>
      <name val="Arial"/>
      <family val="2"/>
    </font>
    <font>
      <b/>
      <sz val="9"/>
      <color rgb="FF276221"/>
      <name val="Arial"/>
      <family val="2"/>
    </font>
    <font>
      <b/>
      <i/>
      <sz val="9"/>
      <color rgb="FF595959"/>
      <name val="Arial"/>
      <family val="2"/>
    </font>
    <font>
      <b/>
      <sz val="9"/>
      <color theme="9" tint="-0.499984740745262"/>
      <name val="Arial"/>
      <family val="2"/>
    </font>
    <font>
      <b/>
      <sz val="9"/>
      <color theme="1"/>
      <name val="Arial"/>
      <family val="2"/>
    </font>
    <font>
      <b/>
      <sz val="9"/>
      <color theme="0"/>
      <name val="Arial"/>
      <family val="2"/>
    </font>
  </fonts>
  <fills count="15">
    <fill>
      <patternFill patternType="none"/>
    </fill>
    <fill>
      <patternFill patternType="gray125"/>
    </fill>
    <fill>
      <patternFill patternType="solid">
        <fgColor rgb="FF1B2A4A"/>
        <bgColor rgb="FF1A1A2E"/>
      </patternFill>
    </fill>
    <fill>
      <patternFill patternType="solid">
        <fgColor rgb="FF2E5FA3"/>
        <bgColor rgb="FF1F4E79"/>
      </patternFill>
    </fill>
    <fill>
      <patternFill patternType="solid">
        <fgColor rgb="FF217346"/>
        <bgColor rgb="FF276221"/>
      </patternFill>
    </fill>
    <fill>
      <patternFill patternType="solid">
        <fgColor rgb="FFF4B942"/>
        <bgColor rgb="FFFF9900"/>
      </patternFill>
    </fill>
    <fill>
      <patternFill patternType="solid">
        <fgColor rgb="FFE8722A"/>
        <bgColor rgb="FFFF8080"/>
      </patternFill>
    </fill>
    <fill>
      <patternFill patternType="solid">
        <fgColor rgb="FFF2F2F2"/>
        <bgColor rgb="FFEAF1FB"/>
      </patternFill>
    </fill>
    <fill>
      <patternFill patternType="solid">
        <fgColor rgb="FFFFFFFF"/>
        <bgColor rgb="FFF2F2F2"/>
      </patternFill>
    </fill>
    <fill>
      <patternFill patternType="solid">
        <fgColor rgb="FFEAF1FB"/>
        <bgColor rgb="FFF2F2F2"/>
      </patternFill>
    </fill>
    <fill>
      <patternFill patternType="solid">
        <fgColor rgb="FFBDD7EE"/>
        <bgColor rgb="FFC6EFCE"/>
      </patternFill>
    </fill>
    <fill>
      <patternFill patternType="solid">
        <fgColor rgb="FFFFEB9C"/>
        <bgColor rgb="FFF2F2F2"/>
      </patternFill>
    </fill>
    <fill>
      <patternFill patternType="solid">
        <fgColor rgb="FFC6EFCE"/>
        <bgColor rgb="FFCCFFFF"/>
      </patternFill>
    </fill>
    <fill>
      <patternFill patternType="solid">
        <fgColor rgb="FF00B050"/>
        <bgColor rgb="FFC6EFCE"/>
      </patternFill>
    </fill>
    <fill>
      <patternFill patternType="solid">
        <fgColor rgb="FF00B050"/>
        <bgColor rgb="FFF2F2F2"/>
      </patternFill>
    </fill>
  </fills>
  <borders count="6">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7" borderId="2" xfId="0" applyFont="1" applyFill="1" applyBorder="1" applyAlignment="1">
      <alignment horizontal="center" vertical="center"/>
    </xf>
    <xf numFmtId="0" fontId="6" fillId="7" borderId="2" xfId="0" applyFont="1" applyFill="1" applyBorder="1" applyAlignment="1">
      <alignment horizontal="center" vertical="center"/>
    </xf>
    <xf numFmtId="0" fontId="7" fillId="7" borderId="2" xfId="0" applyFont="1" applyFill="1" applyBorder="1" applyAlignment="1">
      <alignment horizontal="center" vertical="center"/>
    </xf>
    <xf numFmtId="0" fontId="8" fillId="7" borderId="2" xfId="0" applyFont="1" applyFill="1" applyBorder="1" applyAlignment="1">
      <alignment horizontal="center" vertical="center"/>
    </xf>
    <xf numFmtId="0" fontId="9" fillId="7" borderId="2" xfId="0" applyFont="1" applyFill="1" applyBorder="1" applyAlignment="1">
      <alignment horizontal="center" vertical="center"/>
    </xf>
    <xf numFmtId="0" fontId="10" fillId="8" borderId="2" xfId="0" applyFont="1" applyFill="1" applyBorder="1" applyAlignment="1">
      <alignment horizontal="center" vertical="center"/>
    </xf>
    <xf numFmtId="15" fontId="10" fillId="8" borderId="2" xfId="0" applyNumberFormat="1" applyFont="1" applyFill="1" applyBorder="1" applyAlignment="1">
      <alignment horizontal="center" vertical="center"/>
    </xf>
    <xf numFmtId="0" fontId="10" fillId="9" borderId="2" xfId="0" applyFont="1" applyFill="1" applyBorder="1" applyAlignment="1">
      <alignment horizontal="left" vertical="center" wrapText="1"/>
    </xf>
    <xf numFmtId="0" fontId="10" fillId="9" borderId="2" xfId="0" applyFont="1" applyFill="1" applyBorder="1" applyAlignment="1">
      <alignment horizontal="center" vertical="center"/>
    </xf>
    <xf numFmtId="0" fontId="4" fillId="9" borderId="2" xfId="0" applyFont="1" applyFill="1" applyBorder="1" applyAlignment="1">
      <alignment horizontal="center" vertical="center"/>
    </xf>
    <xf numFmtId="0" fontId="12" fillId="9" borderId="2" xfId="0" applyFont="1" applyFill="1" applyBorder="1" applyAlignment="1">
      <alignment horizontal="left" vertical="center" wrapText="1"/>
    </xf>
    <xf numFmtId="0" fontId="4" fillId="8" borderId="2" xfId="0" applyFont="1" applyFill="1" applyBorder="1" applyAlignment="1">
      <alignment horizontal="left" vertical="center"/>
    </xf>
    <xf numFmtId="0" fontId="10" fillId="8" borderId="2" xfId="0" applyFont="1" applyFill="1" applyBorder="1" applyAlignment="1">
      <alignment horizontal="left" vertical="center" wrapText="1"/>
    </xf>
    <xf numFmtId="0" fontId="13" fillId="10" borderId="2" xfId="0" applyFont="1" applyFill="1" applyBorder="1" applyAlignment="1">
      <alignment horizontal="center" vertical="center"/>
    </xf>
    <xf numFmtId="15" fontId="4" fillId="8" borderId="2" xfId="0" applyNumberFormat="1" applyFont="1" applyFill="1" applyBorder="1" applyAlignment="1">
      <alignment horizontal="center" vertical="center"/>
    </xf>
    <xf numFmtId="0" fontId="12" fillId="8" borderId="2" xfId="0" applyFont="1" applyFill="1" applyBorder="1" applyAlignment="1">
      <alignment horizontal="left" vertical="center" wrapText="1"/>
    </xf>
    <xf numFmtId="0" fontId="14" fillId="11" borderId="2" xfId="0" applyFont="1" applyFill="1" applyBorder="1" applyAlignment="1">
      <alignment horizontal="center" vertical="center"/>
    </xf>
    <xf numFmtId="15" fontId="10" fillId="9" borderId="2" xfId="0" applyNumberFormat="1" applyFont="1" applyFill="1" applyBorder="1" applyAlignment="1">
      <alignment horizontal="center" vertical="center"/>
    </xf>
    <xf numFmtId="15" fontId="4" fillId="9" borderId="2" xfId="0" applyNumberFormat="1" applyFont="1" applyFill="1" applyBorder="1" applyAlignment="1">
      <alignment horizontal="center" vertical="center"/>
    </xf>
    <xf numFmtId="0" fontId="4" fillId="12" borderId="2" xfId="0" applyFont="1" applyFill="1" applyBorder="1" applyAlignment="1">
      <alignment horizontal="left" vertical="center"/>
    </xf>
    <xf numFmtId="0" fontId="10" fillId="12" borderId="2" xfId="0" applyFont="1" applyFill="1" applyBorder="1" applyAlignment="1">
      <alignment horizontal="left" vertical="center" wrapText="1"/>
    </xf>
    <xf numFmtId="0" fontId="15" fillId="12" borderId="2" xfId="0" applyFont="1" applyFill="1" applyBorder="1" applyAlignment="1">
      <alignment horizontal="center" vertical="center"/>
    </xf>
    <xf numFmtId="0" fontId="10" fillId="12" borderId="2" xfId="0" applyFont="1" applyFill="1" applyBorder="1" applyAlignment="1">
      <alignment horizontal="center" vertical="center"/>
    </xf>
    <xf numFmtId="15" fontId="10" fillId="12" borderId="2" xfId="0" applyNumberFormat="1" applyFont="1" applyFill="1" applyBorder="1" applyAlignment="1">
      <alignment horizontal="center" vertical="center"/>
    </xf>
    <xf numFmtId="0" fontId="4" fillId="9" borderId="2" xfId="0" applyFont="1" applyFill="1" applyBorder="1" applyAlignment="1">
      <alignment horizontal="left" vertical="center" wrapText="1"/>
    </xf>
    <xf numFmtId="0" fontId="4" fillId="8" borderId="2" xfId="0" applyFont="1" applyFill="1" applyBorder="1" applyAlignment="1">
      <alignment horizontal="center" vertical="center"/>
    </xf>
    <xf numFmtId="0" fontId="16" fillId="9" borderId="2" xfId="0" applyFont="1" applyFill="1" applyBorder="1" applyAlignment="1">
      <alignment horizontal="left" vertical="center" wrapText="1"/>
    </xf>
    <xf numFmtId="0" fontId="17" fillId="12" borderId="2" xfId="0" applyFont="1" applyFill="1" applyBorder="1" applyAlignment="1">
      <alignment horizontal="center" vertical="center"/>
    </xf>
    <xf numFmtId="0" fontId="4" fillId="12" borderId="4" xfId="0" applyFont="1" applyFill="1" applyBorder="1" applyAlignment="1">
      <alignment horizontal="left" vertical="center"/>
    </xf>
    <xf numFmtId="0" fontId="10" fillId="12" borderId="4" xfId="0" applyFont="1" applyFill="1" applyBorder="1" applyAlignment="1">
      <alignment horizontal="left" vertical="center" wrapText="1"/>
    </xf>
    <xf numFmtId="0" fontId="15" fillId="12" borderId="4" xfId="0" applyFont="1" applyFill="1" applyBorder="1" applyAlignment="1">
      <alignment horizontal="center" vertical="center"/>
    </xf>
    <xf numFmtId="0" fontId="10" fillId="12" borderId="4" xfId="0" applyFont="1" applyFill="1" applyBorder="1" applyAlignment="1">
      <alignment horizontal="center" vertical="center"/>
    </xf>
    <xf numFmtId="15" fontId="10" fillId="12" borderId="4" xfId="0" applyNumberFormat="1" applyFont="1" applyFill="1" applyBorder="1" applyAlignment="1">
      <alignment horizontal="center" vertical="center"/>
    </xf>
    <xf numFmtId="15" fontId="18" fillId="8" borderId="2" xfId="0" applyNumberFormat="1" applyFont="1" applyFill="1" applyBorder="1" applyAlignment="1">
      <alignment horizontal="center" vertical="center"/>
    </xf>
    <xf numFmtId="15" fontId="18" fillId="9" borderId="2" xfId="0" applyNumberFormat="1" applyFont="1" applyFill="1" applyBorder="1" applyAlignment="1">
      <alignment horizontal="center" vertical="center"/>
    </xf>
    <xf numFmtId="0" fontId="10" fillId="8" borderId="4" xfId="0" applyFont="1" applyFill="1" applyBorder="1" applyAlignment="1">
      <alignment horizontal="left" vertical="center" wrapText="1"/>
    </xf>
    <xf numFmtId="0" fontId="14" fillId="11" borderId="4" xfId="0" applyFont="1" applyFill="1" applyBorder="1" applyAlignment="1">
      <alignment horizontal="center" vertical="center"/>
    </xf>
    <xf numFmtId="0" fontId="10" fillId="8" borderId="4" xfId="0" applyFont="1" applyFill="1" applyBorder="1" applyAlignment="1">
      <alignment horizontal="center" vertical="center"/>
    </xf>
    <xf numFmtId="15" fontId="0" fillId="0" borderId="0" xfId="0" applyNumberFormat="1"/>
    <xf numFmtId="0" fontId="4" fillId="8" borderId="3" xfId="0" applyFont="1" applyFill="1" applyBorder="1" applyAlignment="1">
      <alignment horizontal="center" vertical="center"/>
    </xf>
    <xf numFmtId="0" fontId="4" fillId="8" borderId="5" xfId="0" applyFont="1" applyFill="1" applyBorder="1" applyAlignment="1">
      <alignment horizontal="center" vertical="center"/>
    </xf>
    <xf numFmtId="14" fontId="0" fillId="0" borderId="0" xfId="0" applyNumberFormat="1"/>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5" xfId="0" applyFont="1" applyFill="1" applyBorder="1" applyAlignment="1">
      <alignment horizontal="center" vertical="center"/>
    </xf>
    <xf numFmtId="0" fontId="11" fillId="2" borderId="0" xfId="0" applyFont="1" applyFill="1" applyAlignment="1">
      <alignment horizontal="left" vertical="center" indent="2"/>
    </xf>
    <xf numFmtId="0" fontId="10" fillId="9" borderId="0" xfId="0" applyFont="1" applyFill="1" applyAlignment="1">
      <alignment horizontal="left" vertical="center" indent="1"/>
    </xf>
    <xf numFmtId="0" fontId="4" fillId="9" borderId="3"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4" xfId="0" applyFont="1" applyFill="1" applyBorder="1" applyAlignment="1">
      <alignment horizontal="center" vertical="center"/>
    </xf>
    <xf numFmtId="0" fontId="1" fillId="2" borderId="0" xfId="0" applyFont="1" applyFill="1" applyAlignment="1">
      <alignment horizontal="left" vertical="center" indent="2"/>
    </xf>
    <xf numFmtId="0" fontId="2" fillId="3" borderId="0" xfId="0" applyFont="1" applyFill="1" applyAlignment="1">
      <alignment horizontal="left" vertical="center" indent="2"/>
    </xf>
    <xf numFmtId="0" fontId="11" fillId="4" borderId="0" xfId="0" applyFont="1" applyFill="1" applyAlignment="1">
      <alignment horizontal="left" vertical="center" indent="2"/>
    </xf>
    <xf numFmtId="0" fontId="10" fillId="8" borderId="3" xfId="0" applyFont="1" applyFill="1" applyBorder="1" applyAlignment="1">
      <alignment horizontal="center" vertical="center"/>
    </xf>
    <xf numFmtId="0" fontId="0" fillId="0" borderId="0" xfId="0" applyAlignment="1">
      <alignment horizontal="center"/>
    </xf>
    <xf numFmtId="0" fontId="19" fillId="14" borderId="2" xfId="0" applyFont="1" applyFill="1" applyBorder="1" applyAlignment="1">
      <alignment horizontal="center" vertical="center"/>
    </xf>
    <xf numFmtId="0" fontId="19" fillId="1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276221"/>
      <rgbColor rgb="FF000080"/>
      <rgbColor rgb="FF9C6500"/>
      <rgbColor rgb="FF800080"/>
      <rgbColor rgb="FF217346"/>
      <rgbColor rgb="FFC0C0C0"/>
      <rgbColor rgb="FF808080"/>
      <rgbColor rgb="FF9999FF"/>
      <rgbColor rgb="FF993366"/>
      <rgbColor rgb="FFF2F2F2"/>
      <rgbColor rgb="FFEAF1FB"/>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4B942"/>
      <rgbColor rgb="FFFF9900"/>
      <rgbColor rgb="FFE8722A"/>
      <rgbColor rgb="FF595959"/>
      <rgbColor rgb="FF969696"/>
      <rgbColor rgb="FF003366"/>
      <rgbColor rgb="FF339966"/>
      <rgbColor rgb="FF003300"/>
      <rgbColor rgb="FF1A1A2E"/>
      <rgbColor rgb="FF993300"/>
      <rgbColor rgb="FF993366"/>
      <rgbColor rgb="FF1F4E7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ariro Baramasimbe" id="{9C147584-C62F-4D3F-966F-CE879D99C463}" userId="S::tariro.baramasimbe@intellego-ic.com::c4c53c30-8792-45b0-bd3e-c0d0077dcdbf"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46" dT="2026-04-16T10:59:55.15" personId="{9C147584-C62F-4D3F-966F-CE879D99C463}" id="{BC7DAF64-621C-4488-9F3D-A365C5C06CCF}">
    <text xml:space="preserve">It was communicated to the administrator that the investment was not investor ready. This is a land development project that is not yet saleable since allocation is still to be done, as such there is nothing to analyse for now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zoomScaleNormal="100" workbookViewId="0">
      <pane ySplit="9" topLeftCell="A10" activePane="bottomLeft" state="frozen"/>
      <selection pane="bottomLeft" activeCell="B5" sqref="B5"/>
    </sheetView>
  </sheetViews>
  <sheetFormatPr defaultColWidth="8.7109375" defaultRowHeight="15" x14ac:dyDescent="0.25"/>
  <cols>
    <col min="1" max="1" width="2" customWidth="1"/>
    <col min="2" max="2" width="18" customWidth="1"/>
    <col min="3" max="8" width="14" customWidth="1"/>
    <col min="9" max="9" width="2" customWidth="1"/>
  </cols>
  <sheetData>
    <row r="1" spans="2:8" ht="7.5" customHeight="1" x14ac:dyDescent="0.25"/>
    <row r="2" spans="2:8" ht="36" customHeight="1" x14ac:dyDescent="0.25">
      <c r="B2" s="56" t="s">
        <v>0</v>
      </c>
      <c r="C2" s="56"/>
      <c r="D2" s="56"/>
      <c r="E2" s="56"/>
      <c r="F2" s="56"/>
      <c r="G2" s="56"/>
      <c r="H2" s="56"/>
    </row>
    <row r="3" spans="2:8" ht="9.75" customHeight="1" x14ac:dyDescent="0.25"/>
    <row r="4" spans="2:8" ht="21.75" customHeight="1" x14ac:dyDescent="0.25">
      <c r="B4" s="57" t="s">
        <v>625</v>
      </c>
      <c r="C4" s="57"/>
      <c r="D4" s="57"/>
      <c r="E4" s="57"/>
      <c r="F4" s="57"/>
      <c r="G4" s="57"/>
      <c r="H4" s="57"/>
    </row>
    <row r="5" spans="2:8" ht="13.5" customHeight="1" x14ac:dyDescent="0.25"/>
    <row r="6" spans="2:8" ht="43.5" customHeight="1" x14ac:dyDescent="0.25">
      <c r="B6" s="1" t="s">
        <v>1</v>
      </c>
      <c r="C6" s="2" t="s">
        <v>2</v>
      </c>
      <c r="D6" s="3" t="s">
        <v>3</v>
      </c>
      <c r="E6" s="4" t="s">
        <v>4</v>
      </c>
      <c r="F6" s="5" t="s">
        <v>5</v>
      </c>
    </row>
    <row r="7" spans="2:8" ht="36" customHeight="1" x14ac:dyDescent="0.25">
      <c r="B7" s="6">
        <v>32</v>
      </c>
      <c r="C7" s="7">
        <v>7</v>
      </c>
      <c r="D7" s="8">
        <v>11</v>
      </c>
      <c r="E7" s="9">
        <f>B7-D7-F7</f>
        <v>20</v>
      </c>
      <c r="F7" s="10">
        <v>1</v>
      </c>
    </row>
    <row r="8" spans="2:8" ht="21.75" customHeight="1" x14ac:dyDescent="0.25"/>
    <row r="9" spans="2:8" ht="9.75" customHeight="1" x14ac:dyDescent="0.25"/>
    <row r="10" spans="2:8" ht="18" customHeight="1" x14ac:dyDescent="0.25"/>
    <row r="11" spans="2:8" ht="15.75" customHeight="1" x14ac:dyDescent="0.25"/>
    <row r="12" spans="2:8" ht="15.75" customHeight="1" x14ac:dyDescent="0.25"/>
    <row r="13" spans="2:8" ht="15.75" customHeight="1" x14ac:dyDescent="0.25"/>
    <row r="14" spans="2:8" ht="15.75" customHeight="1" x14ac:dyDescent="0.25"/>
    <row r="15" spans="2:8" ht="15.75" customHeight="1" x14ac:dyDescent="0.25"/>
    <row r="16" spans="2: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sheetData>
  <mergeCells count="2">
    <mergeCell ref="B2:H2"/>
    <mergeCell ref="B4:H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7"/>
  <sheetViews>
    <sheetView showGridLines="0" tabSelected="1" zoomScaleNormal="100" workbookViewId="0">
      <pane ySplit="4" topLeftCell="A8" activePane="bottomLeft" state="frozen"/>
      <selection pane="bottomLeft" activeCell="D34" sqref="D34"/>
    </sheetView>
  </sheetViews>
  <sheetFormatPr defaultColWidth="8.7109375" defaultRowHeight="15" x14ac:dyDescent="0.25"/>
  <cols>
    <col min="1" max="1" width="2" customWidth="1"/>
    <col min="2" max="2" width="16" style="60" customWidth="1"/>
    <col min="3" max="3" width="40" customWidth="1"/>
    <col min="4" max="4" width="12" customWidth="1"/>
    <col min="5" max="5" width="14" customWidth="1"/>
    <col min="6" max="6" width="17" customWidth="1"/>
    <col min="7" max="7" width="12" customWidth="1"/>
    <col min="8" max="9" width="35" customWidth="1"/>
    <col min="10" max="10" width="2" customWidth="1"/>
  </cols>
  <sheetData>
    <row r="1" spans="2:9" ht="30" customHeight="1" x14ac:dyDescent="0.25">
      <c r="B1" s="51" t="s">
        <v>626</v>
      </c>
      <c r="C1" s="51"/>
      <c r="D1" s="51"/>
      <c r="E1" s="51"/>
      <c r="F1" s="51"/>
      <c r="G1" s="51"/>
      <c r="H1" s="51"/>
      <c r="I1" s="51"/>
    </row>
    <row r="2" spans="2:9" ht="6" customHeight="1" x14ac:dyDescent="0.25"/>
    <row r="3" spans="2:9" ht="18" customHeight="1" x14ac:dyDescent="0.25">
      <c r="B3" s="52"/>
      <c r="C3" s="52"/>
      <c r="D3" s="52"/>
      <c r="E3" s="52"/>
      <c r="F3" s="52"/>
      <c r="G3" s="52"/>
      <c r="H3" s="52"/>
      <c r="I3" s="52"/>
    </row>
    <row r="4" spans="2:9" ht="21.75" customHeight="1" x14ac:dyDescent="0.25">
      <c r="B4" s="1" t="s">
        <v>6</v>
      </c>
      <c r="C4" s="1" t="s">
        <v>22</v>
      </c>
      <c r="D4" s="1" t="s">
        <v>23</v>
      </c>
      <c r="E4" s="1" t="s">
        <v>24</v>
      </c>
      <c r="F4" s="1" t="s">
        <v>25</v>
      </c>
      <c r="G4" s="1" t="s">
        <v>26</v>
      </c>
      <c r="H4" s="1" t="s">
        <v>27</v>
      </c>
      <c r="I4" s="1" t="s">
        <v>28</v>
      </c>
    </row>
    <row r="5" spans="2:9" ht="27.75" customHeight="1" x14ac:dyDescent="0.25">
      <c r="B5" s="15" t="s">
        <v>18</v>
      </c>
      <c r="C5" s="30" t="s">
        <v>22</v>
      </c>
      <c r="D5" s="31" t="s">
        <v>29</v>
      </c>
      <c r="E5" s="15" t="s">
        <v>30</v>
      </c>
      <c r="F5" s="15" t="s">
        <v>25</v>
      </c>
      <c r="G5" s="15" t="s">
        <v>19</v>
      </c>
      <c r="H5" s="32" t="s">
        <v>31</v>
      </c>
      <c r="I5" s="30" t="s">
        <v>32</v>
      </c>
    </row>
    <row r="6" spans="2:9" ht="45" customHeight="1" x14ac:dyDescent="0.25">
      <c r="B6" s="15" t="s">
        <v>21</v>
      </c>
      <c r="C6" s="13" t="s">
        <v>33</v>
      </c>
      <c r="D6" s="19" t="s">
        <v>7</v>
      </c>
      <c r="E6" s="14" t="s">
        <v>34</v>
      </c>
      <c r="F6" s="23">
        <v>46023</v>
      </c>
      <c r="G6" s="40">
        <v>46097</v>
      </c>
      <c r="H6" s="16" t="s">
        <v>35</v>
      </c>
      <c r="I6" s="13" t="s">
        <v>35</v>
      </c>
    </row>
    <row r="7" spans="2:9" ht="45" customHeight="1" x14ac:dyDescent="0.25">
      <c r="B7" s="31" t="s">
        <v>20</v>
      </c>
      <c r="C7" s="18" t="s">
        <v>39</v>
      </c>
      <c r="D7" s="19" t="s">
        <v>7</v>
      </c>
      <c r="E7" s="11" t="s">
        <v>38</v>
      </c>
      <c r="F7" s="12">
        <v>46072</v>
      </c>
      <c r="G7" s="39">
        <v>46112</v>
      </c>
      <c r="H7" s="21" t="s">
        <v>40</v>
      </c>
      <c r="I7" s="18" t="s">
        <v>620</v>
      </c>
    </row>
    <row r="8" spans="2:9" ht="45" customHeight="1" x14ac:dyDescent="0.25">
      <c r="B8" s="15" t="s">
        <v>17</v>
      </c>
      <c r="C8" s="13" t="s">
        <v>41</v>
      </c>
      <c r="D8" s="19" t="s">
        <v>7</v>
      </c>
      <c r="E8" s="14" t="s">
        <v>38</v>
      </c>
      <c r="F8" s="23">
        <v>46077</v>
      </c>
      <c r="G8" s="40">
        <v>46094</v>
      </c>
      <c r="H8" s="16" t="s">
        <v>564</v>
      </c>
      <c r="I8" s="13" t="s">
        <v>564</v>
      </c>
    </row>
    <row r="9" spans="2:9" ht="45" customHeight="1" x14ac:dyDescent="0.25">
      <c r="B9" s="31" t="s">
        <v>204</v>
      </c>
      <c r="C9" s="18" t="s">
        <v>42</v>
      </c>
      <c r="D9" s="62" t="s">
        <v>647</v>
      </c>
      <c r="E9" s="11" t="s">
        <v>34</v>
      </c>
      <c r="F9" s="12">
        <v>46066</v>
      </c>
      <c r="G9" s="39">
        <v>46101</v>
      </c>
      <c r="H9" s="21" t="s">
        <v>43</v>
      </c>
      <c r="I9" s="18" t="s">
        <v>648</v>
      </c>
    </row>
    <row r="10" spans="2:9" ht="45" customHeight="1" x14ac:dyDescent="0.25">
      <c r="B10" s="48" t="s">
        <v>11</v>
      </c>
      <c r="C10" s="18" t="s">
        <v>47</v>
      </c>
      <c r="D10" s="22" t="s">
        <v>558</v>
      </c>
      <c r="E10" s="11" t="s">
        <v>46</v>
      </c>
      <c r="F10" s="12">
        <v>46091</v>
      </c>
      <c r="G10" s="20" t="s">
        <v>558</v>
      </c>
      <c r="H10" s="21" t="s">
        <v>561</v>
      </c>
      <c r="I10" s="18" t="s">
        <v>559</v>
      </c>
    </row>
    <row r="11" spans="2:9" ht="45" customHeight="1" x14ac:dyDescent="0.25">
      <c r="B11" s="49"/>
      <c r="C11" s="13" t="s">
        <v>49</v>
      </c>
      <c r="D11" s="22" t="s">
        <v>37</v>
      </c>
      <c r="E11" s="14" t="s">
        <v>46</v>
      </c>
      <c r="F11" s="23">
        <v>46091</v>
      </c>
      <c r="G11" s="24">
        <v>46112</v>
      </c>
      <c r="H11" s="16" t="s">
        <v>563</v>
      </c>
      <c r="I11" s="13" t="s">
        <v>563</v>
      </c>
    </row>
    <row r="12" spans="2:9" ht="45" customHeight="1" x14ac:dyDescent="0.25">
      <c r="B12" s="49"/>
      <c r="C12" s="13" t="s">
        <v>637</v>
      </c>
      <c r="D12" s="22" t="s">
        <v>37</v>
      </c>
      <c r="E12" s="14" t="s">
        <v>46</v>
      </c>
      <c r="F12" s="23">
        <v>46136</v>
      </c>
      <c r="G12" s="24">
        <v>46153</v>
      </c>
      <c r="H12" s="16" t="s">
        <v>587</v>
      </c>
      <c r="I12" s="13" t="s">
        <v>649</v>
      </c>
    </row>
    <row r="13" spans="2:9" ht="45" customHeight="1" x14ac:dyDescent="0.25">
      <c r="B13" s="50"/>
      <c r="C13" s="18" t="s">
        <v>50</v>
      </c>
      <c r="D13" s="22" t="s">
        <v>7</v>
      </c>
      <c r="E13" s="11" t="s">
        <v>46</v>
      </c>
      <c r="F13" s="12">
        <v>46091</v>
      </c>
      <c r="G13" s="20">
        <v>46112</v>
      </c>
      <c r="H13" s="21" t="s">
        <v>609</v>
      </c>
      <c r="I13" s="18" t="s">
        <v>644</v>
      </c>
    </row>
    <row r="14" spans="2:9" ht="45" customHeight="1" x14ac:dyDescent="0.25">
      <c r="B14" s="53" t="s">
        <v>13</v>
      </c>
      <c r="C14" s="13" t="s">
        <v>51</v>
      </c>
      <c r="D14" s="22" t="s">
        <v>37</v>
      </c>
      <c r="E14" s="14" t="s">
        <v>46</v>
      </c>
      <c r="F14" s="23">
        <v>46092</v>
      </c>
      <c r="G14" s="24">
        <v>46112</v>
      </c>
      <c r="H14" s="16" t="s">
        <v>562</v>
      </c>
      <c r="I14" s="13" t="s">
        <v>562</v>
      </c>
    </row>
    <row r="15" spans="2:9" ht="45" customHeight="1" x14ac:dyDescent="0.25">
      <c r="B15" s="55"/>
      <c r="C15" s="18" t="s">
        <v>52</v>
      </c>
      <c r="D15" s="22" t="s">
        <v>7</v>
      </c>
      <c r="E15" s="11" t="s">
        <v>46</v>
      </c>
      <c r="F15" s="12">
        <v>46092</v>
      </c>
      <c r="G15" s="20">
        <v>46112</v>
      </c>
      <c r="H15" s="21" t="s">
        <v>609</v>
      </c>
      <c r="I15" s="18" t="s">
        <v>644</v>
      </c>
    </row>
    <row r="16" spans="2:9" ht="45" customHeight="1" x14ac:dyDescent="0.25">
      <c r="B16" s="54"/>
      <c r="C16" s="13" t="s">
        <v>53</v>
      </c>
      <c r="D16" s="22" t="s">
        <v>37</v>
      </c>
      <c r="E16" s="14" t="s">
        <v>46</v>
      </c>
      <c r="F16" s="23">
        <v>46092</v>
      </c>
      <c r="G16" s="24">
        <v>46112</v>
      </c>
      <c r="H16" s="16" t="s">
        <v>636</v>
      </c>
      <c r="I16" s="13" t="s">
        <v>645</v>
      </c>
    </row>
    <row r="17" spans="2:9" ht="77.25" customHeight="1" x14ac:dyDescent="0.25">
      <c r="B17" s="53" t="s">
        <v>10</v>
      </c>
      <c r="C17" s="13" t="s">
        <v>54</v>
      </c>
      <c r="D17" s="22" t="s">
        <v>37</v>
      </c>
      <c r="E17" s="14" t="s">
        <v>38</v>
      </c>
      <c r="F17" s="23">
        <v>46092</v>
      </c>
      <c r="G17" s="24">
        <v>46122</v>
      </c>
      <c r="H17" s="16" t="s">
        <v>602</v>
      </c>
      <c r="I17" s="13" t="s">
        <v>635</v>
      </c>
    </row>
    <row r="18" spans="2:9" ht="77.25" customHeight="1" x14ac:dyDescent="0.25">
      <c r="B18" s="54"/>
      <c r="C18" s="13" t="s">
        <v>634</v>
      </c>
      <c r="D18" s="22" t="s">
        <v>37</v>
      </c>
      <c r="E18" s="14" t="s">
        <v>38</v>
      </c>
      <c r="F18" s="23">
        <v>46092</v>
      </c>
      <c r="G18" s="24">
        <v>46122</v>
      </c>
      <c r="H18" s="16" t="str">
        <f>H26</f>
        <v>Nothing has been done yet on this action item</v>
      </c>
      <c r="I18" s="13" t="s">
        <v>48</v>
      </c>
    </row>
    <row r="19" spans="2:9" ht="45" customHeight="1" x14ac:dyDescent="0.25">
      <c r="B19" s="48" t="s">
        <v>8</v>
      </c>
      <c r="C19" s="18" t="s">
        <v>55</v>
      </c>
      <c r="D19" s="22" t="s">
        <v>37</v>
      </c>
      <c r="E19" s="11" t="s">
        <v>56</v>
      </c>
      <c r="F19" s="12">
        <v>46090</v>
      </c>
      <c r="G19" s="20">
        <v>46112</v>
      </c>
      <c r="H19" s="21" t="s">
        <v>560</v>
      </c>
      <c r="I19" s="18" t="s">
        <v>560</v>
      </c>
    </row>
    <row r="20" spans="2:9" ht="45" customHeight="1" x14ac:dyDescent="0.25">
      <c r="B20" s="49"/>
      <c r="C20" s="13" t="s">
        <v>57</v>
      </c>
      <c r="D20" s="22" t="s">
        <v>37</v>
      </c>
      <c r="E20" s="14" t="s">
        <v>56</v>
      </c>
      <c r="F20" s="23">
        <v>46090</v>
      </c>
      <c r="G20" s="24">
        <v>46112</v>
      </c>
      <c r="H20" s="16" t="str">
        <f>H19</f>
        <v>This is to be addressed in the Fund's Strategy Session that is to be scheduled by the Administrator</v>
      </c>
      <c r="I20" s="13" t="s">
        <v>560</v>
      </c>
    </row>
    <row r="21" spans="2:9" ht="45" customHeight="1" x14ac:dyDescent="0.25">
      <c r="B21" s="49"/>
      <c r="C21" s="13" t="s">
        <v>58</v>
      </c>
      <c r="D21" s="22" t="s">
        <v>37</v>
      </c>
      <c r="E21" s="14" t="s">
        <v>56</v>
      </c>
      <c r="F21" s="23">
        <v>46090</v>
      </c>
      <c r="G21" s="24">
        <v>46112</v>
      </c>
      <c r="H21" s="16" t="str">
        <f>H19</f>
        <v>This is to be addressed in the Fund's Strategy Session that is to be scheduled by the Administrator</v>
      </c>
      <c r="I21" s="13" t="s">
        <v>560</v>
      </c>
    </row>
    <row r="22" spans="2:9" ht="45" customHeight="1" x14ac:dyDescent="0.25">
      <c r="B22" s="50"/>
      <c r="C22" s="13" t="s">
        <v>599</v>
      </c>
      <c r="D22" s="22" t="s">
        <v>37</v>
      </c>
      <c r="E22" s="14" t="s">
        <v>56</v>
      </c>
      <c r="F22" s="23">
        <v>46097</v>
      </c>
      <c r="G22" s="24">
        <v>46142</v>
      </c>
      <c r="H22" s="16" t="s">
        <v>48</v>
      </c>
      <c r="I22" s="13" t="s">
        <v>48</v>
      </c>
    </row>
    <row r="23" spans="2:9" ht="45" customHeight="1" x14ac:dyDescent="0.25">
      <c r="B23" s="31" t="s">
        <v>565</v>
      </c>
      <c r="C23" s="18" t="s">
        <v>566</v>
      </c>
      <c r="D23" s="22" t="s">
        <v>37</v>
      </c>
      <c r="E23" s="11" t="s">
        <v>56</v>
      </c>
      <c r="F23" s="12">
        <v>46107</v>
      </c>
      <c r="G23" s="20">
        <v>46122</v>
      </c>
      <c r="H23" s="21" t="s">
        <v>48</v>
      </c>
      <c r="I23" s="18" t="s">
        <v>48</v>
      </c>
    </row>
    <row r="24" spans="2:9" ht="45" customHeight="1" x14ac:dyDescent="0.25">
      <c r="B24" s="31" t="s">
        <v>545</v>
      </c>
      <c r="C24" s="18" t="s">
        <v>583</v>
      </c>
      <c r="D24" s="22" t="s">
        <v>37</v>
      </c>
      <c r="E24" s="11" t="s">
        <v>38</v>
      </c>
      <c r="F24" s="12">
        <v>46108</v>
      </c>
      <c r="G24" s="20">
        <v>46142</v>
      </c>
      <c r="H24" s="21" t="s">
        <v>568</v>
      </c>
      <c r="I24" s="18" t="s">
        <v>619</v>
      </c>
    </row>
    <row r="25" spans="2:9" ht="45" customHeight="1" x14ac:dyDescent="0.25">
      <c r="B25" s="31" t="s">
        <v>569</v>
      </c>
      <c r="C25" s="18" t="s">
        <v>570</v>
      </c>
      <c r="D25" s="61" t="s">
        <v>647</v>
      </c>
      <c r="E25" s="11" t="s">
        <v>46</v>
      </c>
      <c r="F25" s="12">
        <v>46023</v>
      </c>
      <c r="G25" s="20">
        <v>46111</v>
      </c>
      <c r="H25" s="21" t="s">
        <v>636</v>
      </c>
      <c r="I25" s="18" t="s">
        <v>643</v>
      </c>
    </row>
    <row r="26" spans="2:9" ht="39.75" customHeight="1" x14ac:dyDescent="0.25">
      <c r="B26" s="45" t="s">
        <v>398</v>
      </c>
      <c r="C26" s="18" t="s">
        <v>49</v>
      </c>
      <c r="D26" s="22" t="s">
        <v>7</v>
      </c>
      <c r="E26" s="59" t="s">
        <v>56</v>
      </c>
      <c r="F26" s="12">
        <v>46116</v>
      </c>
      <c r="G26" s="20">
        <v>46142</v>
      </c>
      <c r="H26" s="21" t="s">
        <v>48</v>
      </c>
      <c r="I26" s="18" t="s">
        <v>594</v>
      </c>
    </row>
    <row r="27" spans="2:9" ht="36" x14ac:dyDescent="0.25">
      <c r="B27" s="48" t="s">
        <v>114</v>
      </c>
      <c r="C27" s="18" t="s">
        <v>39</v>
      </c>
      <c r="D27" s="22" t="s">
        <v>37</v>
      </c>
      <c r="E27" s="11" t="s">
        <v>38</v>
      </c>
      <c r="F27" s="12">
        <v>46121</v>
      </c>
      <c r="G27" s="20">
        <v>46142</v>
      </c>
      <c r="H27" s="21"/>
      <c r="I27" s="18" t="s">
        <v>603</v>
      </c>
    </row>
    <row r="28" spans="2:9" ht="30" customHeight="1" x14ac:dyDescent="0.25">
      <c r="B28" s="50"/>
      <c r="C28" s="18" t="s">
        <v>588</v>
      </c>
      <c r="D28" s="22" t="s">
        <v>37</v>
      </c>
      <c r="E28" s="11" t="s">
        <v>639</v>
      </c>
      <c r="F28" s="12">
        <v>46121</v>
      </c>
      <c r="G28" s="20">
        <v>46142</v>
      </c>
      <c r="H28" s="21" t="s">
        <v>604</v>
      </c>
      <c r="I28" s="18" t="s">
        <v>638</v>
      </c>
    </row>
    <row r="29" spans="2:9" ht="39.75" customHeight="1" x14ac:dyDescent="0.25">
      <c r="B29" s="31" t="s">
        <v>589</v>
      </c>
      <c r="C29" s="18" t="s">
        <v>590</v>
      </c>
      <c r="D29" s="22" t="s">
        <v>7</v>
      </c>
      <c r="E29" s="11" t="s">
        <v>591</v>
      </c>
      <c r="F29" s="12">
        <v>46109</v>
      </c>
      <c r="G29" s="20">
        <v>46142</v>
      </c>
      <c r="H29" s="21" t="s">
        <v>608</v>
      </c>
      <c r="I29" s="18" t="s">
        <v>608</v>
      </c>
    </row>
    <row r="30" spans="2:9" ht="22.5" customHeight="1" x14ac:dyDescent="0.25">
      <c r="B30" s="46" t="s">
        <v>73</v>
      </c>
      <c r="C30" s="18" t="s">
        <v>592</v>
      </c>
      <c r="D30" s="22" t="s">
        <v>37</v>
      </c>
      <c r="E30" s="11" t="s">
        <v>56</v>
      </c>
      <c r="F30" s="12">
        <v>46128</v>
      </c>
      <c r="G30" s="20">
        <v>46142</v>
      </c>
      <c r="H30" s="21"/>
      <c r="I30" s="18" t="s">
        <v>593</v>
      </c>
    </row>
    <row r="31" spans="2:9" ht="26.25" customHeight="1" x14ac:dyDescent="0.25">
      <c r="B31" s="48" t="s">
        <v>16</v>
      </c>
      <c r="C31" s="18" t="s">
        <v>610</v>
      </c>
      <c r="D31" s="22" t="s">
        <v>7</v>
      </c>
      <c r="E31" s="11" t="s">
        <v>34</v>
      </c>
      <c r="F31" s="12"/>
      <c r="G31" s="20">
        <v>46156</v>
      </c>
      <c r="H31" s="21" t="s">
        <v>611</v>
      </c>
      <c r="I31" s="18" t="s">
        <v>612</v>
      </c>
    </row>
    <row r="32" spans="2:9" ht="36" x14ac:dyDescent="0.25">
      <c r="B32" s="49"/>
      <c r="C32" s="18" t="s">
        <v>613</v>
      </c>
      <c r="D32" s="22" t="s">
        <v>7</v>
      </c>
      <c r="E32" s="11" t="s">
        <v>34</v>
      </c>
      <c r="F32" s="12">
        <v>46092</v>
      </c>
      <c r="G32" s="20">
        <v>46156</v>
      </c>
      <c r="H32" s="21" t="s">
        <v>617</v>
      </c>
      <c r="I32" s="18" t="s">
        <v>615</v>
      </c>
    </row>
    <row r="33" spans="2:9" ht="24" customHeight="1" x14ac:dyDescent="0.25">
      <c r="B33" s="49"/>
      <c r="C33" s="18" t="s">
        <v>39</v>
      </c>
      <c r="D33" s="22" t="s">
        <v>7</v>
      </c>
      <c r="E33" s="11" t="s">
        <v>34</v>
      </c>
      <c r="F33" s="12">
        <v>46096</v>
      </c>
      <c r="G33" s="20">
        <v>46172</v>
      </c>
      <c r="H33" s="21"/>
      <c r="I33" s="18" t="s">
        <v>618</v>
      </c>
    </row>
    <row r="34" spans="2:9" ht="36" x14ac:dyDescent="0.25">
      <c r="B34" s="50"/>
      <c r="C34" s="18" t="s">
        <v>614</v>
      </c>
      <c r="D34" s="61" t="s">
        <v>647</v>
      </c>
      <c r="E34" s="11" t="s">
        <v>34</v>
      </c>
      <c r="F34" s="12">
        <v>46126</v>
      </c>
      <c r="G34" s="20">
        <v>46156</v>
      </c>
      <c r="H34" s="21" t="s">
        <v>616</v>
      </c>
      <c r="I34" s="18" t="s">
        <v>646</v>
      </c>
    </row>
    <row r="35" spans="2:9" x14ac:dyDescent="0.25">
      <c r="B35" s="60" t="s">
        <v>89</v>
      </c>
      <c r="C35" s="41" t="s">
        <v>577</v>
      </c>
      <c r="D35" s="42" t="s">
        <v>37</v>
      </c>
      <c r="E35" s="43" t="s">
        <v>38</v>
      </c>
      <c r="F35" s="44">
        <v>46141</v>
      </c>
      <c r="G35" s="44">
        <v>46145</v>
      </c>
    </row>
    <row r="36" spans="2:9" ht="24" x14ac:dyDescent="0.25">
      <c r="B36" s="60" t="s">
        <v>67</v>
      </c>
      <c r="C36" s="41" t="s">
        <v>640</v>
      </c>
      <c r="D36" s="42" t="s">
        <v>37</v>
      </c>
      <c r="E36" s="43" t="s">
        <v>38</v>
      </c>
      <c r="F36" s="44">
        <v>46148</v>
      </c>
      <c r="G36" s="47">
        <v>46174</v>
      </c>
    </row>
    <row r="37" spans="2:9" ht="36" x14ac:dyDescent="0.25">
      <c r="B37" s="60" t="s">
        <v>641</v>
      </c>
      <c r="C37" s="41" t="s">
        <v>642</v>
      </c>
      <c r="D37" s="42" t="s">
        <v>37</v>
      </c>
      <c r="E37" s="43" t="s">
        <v>38</v>
      </c>
      <c r="F37" s="44">
        <v>46151</v>
      </c>
      <c r="G37" s="44">
        <v>46203</v>
      </c>
    </row>
  </sheetData>
  <mergeCells count="8">
    <mergeCell ref="B31:B34"/>
    <mergeCell ref="B1:I1"/>
    <mergeCell ref="B3:I3"/>
    <mergeCell ref="B27:B28"/>
    <mergeCell ref="B17:B18"/>
    <mergeCell ref="B14:B16"/>
    <mergeCell ref="B10:B13"/>
    <mergeCell ref="B19:B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455"/>
  <sheetViews>
    <sheetView showGridLines="0" zoomScaleNormal="100" workbookViewId="0">
      <pane ySplit="3" topLeftCell="A444" activePane="bottomLeft" state="frozen"/>
      <selection pane="bottomLeft" activeCell="F456" sqref="F456"/>
    </sheetView>
  </sheetViews>
  <sheetFormatPr defaultColWidth="8.7109375" defaultRowHeight="15" x14ac:dyDescent="0.25"/>
  <cols>
    <col min="1" max="1" width="2" customWidth="1"/>
    <col min="2" max="2" width="20" customWidth="1"/>
    <col min="3" max="3" width="55" customWidth="1"/>
    <col min="4" max="4" width="12" customWidth="1"/>
    <col min="5" max="6" width="18" customWidth="1"/>
    <col min="7" max="7" width="2" customWidth="1"/>
  </cols>
  <sheetData>
    <row r="1" spans="2:6" ht="30" customHeight="1" x14ac:dyDescent="0.25">
      <c r="B1" s="58" t="s">
        <v>72</v>
      </c>
      <c r="C1" s="58"/>
      <c r="D1" s="58"/>
      <c r="E1" s="58"/>
      <c r="F1" s="58"/>
    </row>
    <row r="2" spans="2:6" ht="6" customHeight="1" x14ac:dyDescent="0.25"/>
    <row r="3" spans="2:6" ht="21.75" customHeight="1" x14ac:dyDescent="0.25">
      <c r="B3" s="1" t="s">
        <v>6</v>
      </c>
      <c r="C3" s="1" t="s">
        <v>22</v>
      </c>
      <c r="D3" s="1" t="s">
        <v>23</v>
      </c>
      <c r="E3" s="1" t="s">
        <v>24</v>
      </c>
      <c r="F3" s="1" t="s">
        <v>71</v>
      </c>
    </row>
    <row r="4" spans="2:6" ht="30" customHeight="1" x14ac:dyDescent="0.25">
      <c r="B4" s="25" t="s">
        <v>73</v>
      </c>
      <c r="C4" s="26" t="s">
        <v>74</v>
      </c>
      <c r="D4" s="27" t="s">
        <v>75</v>
      </c>
      <c r="E4" s="28" t="s">
        <v>76</v>
      </c>
      <c r="F4" s="29">
        <v>45046</v>
      </c>
    </row>
    <row r="5" spans="2:6" ht="30" customHeight="1" x14ac:dyDescent="0.25">
      <c r="B5" s="17" t="s">
        <v>77</v>
      </c>
      <c r="C5" s="18" t="s">
        <v>78</v>
      </c>
      <c r="D5" s="27" t="s">
        <v>75</v>
      </c>
      <c r="E5" s="11" t="s">
        <v>79</v>
      </c>
      <c r="F5" s="12">
        <v>45046</v>
      </c>
    </row>
    <row r="6" spans="2:6" ht="30" customHeight="1" x14ac:dyDescent="0.25">
      <c r="B6" s="25" t="s">
        <v>80</v>
      </c>
      <c r="C6" s="26" t="s">
        <v>81</v>
      </c>
      <c r="D6" s="27" t="s">
        <v>75</v>
      </c>
      <c r="E6" s="28" t="s">
        <v>62</v>
      </c>
      <c r="F6" s="29">
        <v>45046</v>
      </c>
    </row>
    <row r="7" spans="2:6" ht="30" customHeight="1" x14ac:dyDescent="0.25">
      <c r="B7" s="17" t="s">
        <v>80</v>
      </c>
      <c r="C7" s="18" t="s">
        <v>82</v>
      </c>
      <c r="D7" s="27" t="s">
        <v>75</v>
      </c>
      <c r="E7" s="11" t="s">
        <v>62</v>
      </c>
      <c r="F7" s="12">
        <v>45046</v>
      </c>
    </row>
    <row r="8" spans="2:6" ht="30" customHeight="1" x14ac:dyDescent="0.25">
      <c r="B8" s="25" t="s">
        <v>80</v>
      </c>
      <c r="C8" s="26" t="s">
        <v>83</v>
      </c>
      <c r="D8" s="27" t="s">
        <v>75</v>
      </c>
      <c r="E8" s="28" t="s">
        <v>62</v>
      </c>
      <c r="F8" s="29">
        <v>45046</v>
      </c>
    </row>
    <row r="9" spans="2:6" ht="30" customHeight="1" x14ac:dyDescent="0.25">
      <c r="B9" s="17" t="s">
        <v>84</v>
      </c>
      <c r="C9" s="18" t="s">
        <v>85</v>
      </c>
      <c r="D9" s="27" t="s">
        <v>75</v>
      </c>
      <c r="E9" s="11" t="s">
        <v>76</v>
      </c>
      <c r="F9" s="12">
        <v>45046</v>
      </c>
    </row>
    <row r="10" spans="2:6" ht="30" customHeight="1" x14ac:dyDescent="0.25">
      <c r="B10" s="25" t="s">
        <v>86</v>
      </c>
      <c r="C10" s="26" t="s">
        <v>87</v>
      </c>
      <c r="D10" s="27" t="s">
        <v>75</v>
      </c>
      <c r="E10" s="28" t="s">
        <v>88</v>
      </c>
      <c r="F10" s="29">
        <v>45046</v>
      </c>
    </row>
    <row r="11" spans="2:6" ht="30" customHeight="1" x14ac:dyDescent="0.25">
      <c r="B11" s="17" t="s">
        <v>89</v>
      </c>
      <c r="C11" s="18" t="s">
        <v>90</v>
      </c>
      <c r="D11" s="27" t="s">
        <v>75</v>
      </c>
      <c r="E11" s="11" t="s">
        <v>91</v>
      </c>
      <c r="F11" s="12">
        <v>45046</v>
      </c>
    </row>
    <row r="12" spans="2:6" ht="30" customHeight="1" x14ac:dyDescent="0.25">
      <c r="B12" s="25" t="s">
        <v>16</v>
      </c>
      <c r="C12" s="26" t="s">
        <v>92</v>
      </c>
      <c r="D12" s="27" t="s">
        <v>75</v>
      </c>
      <c r="E12" s="28" t="s">
        <v>79</v>
      </c>
      <c r="F12" s="29">
        <v>45046</v>
      </c>
    </row>
    <row r="13" spans="2:6" ht="30" customHeight="1" x14ac:dyDescent="0.25">
      <c r="B13" s="17" t="s">
        <v>16</v>
      </c>
      <c r="C13" s="18" t="s">
        <v>93</v>
      </c>
      <c r="D13" s="27" t="s">
        <v>75</v>
      </c>
      <c r="E13" s="11" t="s">
        <v>79</v>
      </c>
      <c r="F13" s="12">
        <v>45046</v>
      </c>
    </row>
    <row r="14" spans="2:6" ht="30" customHeight="1" x14ac:dyDescent="0.25">
      <c r="B14" s="25" t="s">
        <v>16</v>
      </c>
      <c r="C14" s="26" t="s">
        <v>94</v>
      </c>
      <c r="D14" s="27" t="s">
        <v>75</v>
      </c>
      <c r="E14" s="28" t="s">
        <v>79</v>
      </c>
      <c r="F14" s="29">
        <v>45046</v>
      </c>
    </row>
    <row r="15" spans="2:6" ht="30" customHeight="1" x14ac:dyDescent="0.25">
      <c r="B15" s="17" t="s">
        <v>16</v>
      </c>
      <c r="C15" s="18" t="s">
        <v>95</v>
      </c>
      <c r="D15" s="27" t="s">
        <v>75</v>
      </c>
      <c r="E15" s="11" t="s">
        <v>96</v>
      </c>
      <c r="F15" s="12">
        <v>45046</v>
      </c>
    </row>
    <row r="16" spans="2:6" ht="30" customHeight="1" x14ac:dyDescent="0.25">
      <c r="B16" s="25" t="s">
        <v>16</v>
      </c>
      <c r="C16" s="26" t="s">
        <v>97</v>
      </c>
      <c r="D16" s="27" t="s">
        <v>75</v>
      </c>
      <c r="E16" s="28" t="s">
        <v>98</v>
      </c>
      <c r="F16" s="29">
        <v>45046</v>
      </c>
    </row>
    <row r="17" spans="2:6" ht="30" customHeight="1" x14ac:dyDescent="0.25">
      <c r="B17" s="17" t="s">
        <v>16</v>
      </c>
      <c r="C17" s="18" t="s">
        <v>99</v>
      </c>
      <c r="D17" s="27" t="s">
        <v>75</v>
      </c>
      <c r="E17" s="11" t="s">
        <v>100</v>
      </c>
      <c r="F17" s="12">
        <v>45046</v>
      </c>
    </row>
    <row r="18" spans="2:6" ht="30" customHeight="1" x14ac:dyDescent="0.25">
      <c r="B18" s="25" t="s">
        <v>16</v>
      </c>
      <c r="C18" s="26" t="s">
        <v>101</v>
      </c>
      <c r="D18" s="27" t="s">
        <v>75</v>
      </c>
      <c r="E18" s="28" t="s">
        <v>102</v>
      </c>
      <c r="F18" s="29">
        <v>45046</v>
      </c>
    </row>
    <row r="19" spans="2:6" ht="30" customHeight="1" x14ac:dyDescent="0.25">
      <c r="B19" s="17" t="s">
        <v>16</v>
      </c>
      <c r="C19" s="18" t="s">
        <v>103</v>
      </c>
      <c r="D19" s="27" t="s">
        <v>75</v>
      </c>
      <c r="E19" s="11" t="s">
        <v>56</v>
      </c>
      <c r="F19" s="12">
        <v>45046</v>
      </c>
    </row>
    <row r="20" spans="2:6" ht="30" customHeight="1" x14ac:dyDescent="0.25">
      <c r="B20" s="25" t="s">
        <v>104</v>
      </c>
      <c r="C20" s="26" t="s">
        <v>105</v>
      </c>
      <c r="D20" s="27" t="s">
        <v>75</v>
      </c>
      <c r="E20" s="28" t="s">
        <v>106</v>
      </c>
      <c r="F20" s="29">
        <v>45046</v>
      </c>
    </row>
    <row r="21" spans="2:6" ht="30" customHeight="1" x14ac:dyDescent="0.25">
      <c r="B21" s="17" t="s">
        <v>104</v>
      </c>
      <c r="C21" s="18" t="s">
        <v>107</v>
      </c>
      <c r="D21" s="27" t="s">
        <v>75</v>
      </c>
      <c r="E21" s="11" t="s">
        <v>108</v>
      </c>
      <c r="F21" s="12">
        <v>45046</v>
      </c>
    </row>
    <row r="22" spans="2:6" ht="30" customHeight="1" x14ac:dyDescent="0.25">
      <c r="B22" s="25" t="s">
        <v>104</v>
      </c>
      <c r="C22" s="26" t="s">
        <v>109</v>
      </c>
      <c r="D22" s="27" t="s">
        <v>75</v>
      </c>
      <c r="E22" s="28" t="s">
        <v>110</v>
      </c>
      <c r="F22" s="29">
        <v>45046</v>
      </c>
    </row>
    <row r="23" spans="2:6" ht="30" customHeight="1" x14ac:dyDescent="0.25">
      <c r="B23" s="17" t="s">
        <v>104</v>
      </c>
      <c r="C23" s="18" t="s">
        <v>111</v>
      </c>
      <c r="D23" s="27" t="s">
        <v>75</v>
      </c>
      <c r="E23" s="11" t="s">
        <v>110</v>
      </c>
      <c r="F23" s="12">
        <v>45046</v>
      </c>
    </row>
    <row r="24" spans="2:6" ht="30" customHeight="1" x14ac:dyDescent="0.25">
      <c r="B24" s="25" t="s">
        <v>104</v>
      </c>
      <c r="C24" s="26" t="s">
        <v>112</v>
      </c>
      <c r="D24" s="27" t="s">
        <v>75</v>
      </c>
      <c r="E24" s="28" t="s">
        <v>62</v>
      </c>
      <c r="F24" s="29">
        <v>45046</v>
      </c>
    </row>
    <row r="25" spans="2:6" ht="30" customHeight="1" x14ac:dyDescent="0.25">
      <c r="B25" s="17" t="s">
        <v>104</v>
      </c>
      <c r="C25" s="18" t="s">
        <v>113</v>
      </c>
      <c r="D25" s="27" t="s">
        <v>75</v>
      </c>
      <c r="E25" s="11" t="s">
        <v>62</v>
      </c>
      <c r="F25" s="12">
        <v>45046</v>
      </c>
    </row>
    <row r="26" spans="2:6" ht="30" customHeight="1" x14ac:dyDescent="0.25">
      <c r="B26" s="25" t="s">
        <v>104</v>
      </c>
      <c r="C26" s="26" t="s">
        <v>82</v>
      </c>
      <c r="D26" s="27" t="s">
        <v>75</v>
      </c>
      <c r="E26" s="28" t="s">
        <v>62</v>
      </c>
      <c r="F26" s="29">
        <v>45046</v>
      </c>
    </row>
    <row r="27" spans="2:6" ht="30" customHeight="1" x14ac:dyDescent="0.25">
      <c r="B27" s="17" t="s">
        <v>114</v>
      </c>
      <c r="C27" s="18" t="s">
        <v>115</v>
      </c>
      <c r="D27" s="27" t="s">
        <v>75</v>
      </c>
      <c r="E27" s="11" t="s">
        <v>76</v>
      </c>
      <c r="F27" s="12">
        <v>45046</v>
      </c>
    </row>
    <row r="28" spans="2:6" ht="30" customHeight="1" x14ac:dyDescent="0.25">
      <c r="B28" s="25" t="s">
        <v>114</v>
      </c>
      <c r="C28" s="26" t="s">
        <v>116</v>
      </c>
      <c r="D28" s="27" t="s">
        <v>75</v>
      </c>
      <c r="E28" s="28" t="s">
        <v>76</v>
      </c>
      <c r="F28" s="29">
        <v>45046</v>
      </c>
    </row>
    <row r="29" spans="2:6" ht="30" customHeight="1" x14ac:dyDescent="0.25">
      <c r="B29" s="17" t="s">
        <v>114</v>
      </c>
      <c r="C29" s="18" t="s">
        <v>117</v>
      </c>
      <c r="D29" s="27" t="s">
        <v>75</v>
      </c>
      <c r="E29" s="11" t="s">
        <v>76</v>
      </c>
      <c r="F29" s="12">
        <v>45046</v>
      </c>
    </row>
    <row r="30" spans="2:6" ht="30" customHeight="1" x14ac:dyDescent="0.25">
      <c r="B30" s="25" t="s">
        <v>114</v>
      </c>
      <c r="C30" s="26" t="s">
        <v>118</v>
      </c>
      <c r="D30" s="27" t="s">
        <v>75</v>
      </c>
      <c r="E30" s="28" t="s">
        <v>56</v>
      </c>
      <c r="F30" s="29">
        <v>45046</v>
      </c>
    </row>
    <row r="31" spans="2:6" ht="30" customHeight="1" x14ac:dyDescent="0.25">
      <c r="B31" s="17" t="s">
        <v>114</v>
      </c>
      <c r="C31" s="18" t="s">
        <v>119</v>
      </c>
      <c r="D31" s="27" t="s">
        <v>75</v>
      </c>
      <c r="E31" s="11" t="s">
        <v>120</v>
      </c>
      <c r="F31" s="12">
        <v>45046</v>
      </c>
    </row>
    <row r="32" spans="2:6" ht="30" customHeight="1" x14ac:dyDescent="0.25">
      <c r="B32" s="25" t="s">
        <v>114</v>
      </c>
      <c r="C32" s="26" t="s">
        <v>121</v>
      </c>
      <c r="D32" s="27" t="s">
        <v>75</v>
      </c>
      <c r="E32" s="28" t="s">
        <v>122</v>
      </c>
      <c r="F32" s="29">
        <v>45046</v>
      </c>
    </row>
    <row r="33" spans="2:6" ht="30" customHeight="1" x14ac:dyDescent="0.25">
      <c r="B33" s="17" t="s">
        <v>114</v>
      </c>
      <c r="C33" s="18" t="s">
        <v>123</v>
      </c>
      <c r="D33" s="27" t="s">
        <v>75</v>
      </c>
      <c r="E33" s="11" t="s">
        <v>124</v>
      </c>
      <c r="F33" s="12">
        <v>45046</v>
      </c>
    </row>
    <row r="34" spans="2:6" ht="30" customHeight="1" x14ac:dyDescent="0.25">
      <c r="B34" s="25" t="s">
        <v>114</v>
      </c>
      <c r="C34" s="26" t="s">
        <v>125</v>
      </c>
      <c r="D34" s="27" t="s">
        <v>75</v>
      </c>
      <c r="E34" s="28" t="s">
        <v>124</v>
      </c>
      <c r="F34" s="29">
        <v>45046</v>
      </c>
    </row>
    <row r="35" spans="2:6" ht="30" customHeight="1" x14ac:dyDescent="0.25">
      <c r="B35" s="17" t="s">
        <v>126</v>
      </c>
      <c r="C35" s="18" t="s">
        <v>127</v>
      </c>
      <c r="D35" s="27" t="s">
        <v>75</v>
      </c>
      <c r="E35" s="11" t="s">
        <v>128</v>
      </c>
      <c r="F35" s="12">
        <v>45046</v>
      </c>
    </row>
    <row r="36" spans="2:6" ht="30" customHeight="1" x14ac:dyDescent="0.25">
      <c r="B36" s="25" t="s">
        <v>129</v>
      </c>
      <c r="C36" s="26" t="s">
        <v>130</v>
      </c>
      <c r="D36" s="27" t="s">
        <v>75</v>
      </c>
      <c r="E36" s="28" t="s">
        <v>56</v>
      </c>
      <c r="F36" s="29">
        <v>45046</v>
      </c>
    </row>
    <row r="37" spans="2:6" ht="30" customHeight="1" x14ac:dyDescent="0.25">
      <c r="B37" s="17" t="s">
        <v>12</v>
      </c>
      <c r="C37" s="18" t="s">
        <v>131</v>
      </c>
      <c r="D37" s="27" t="s">
        <v>75</v>
      </c>
      <c r="E37" s="11" t="s">
        <v>132</v>
      </c>
      <c r="F37" s="12">
        <v>45046</v>
      </c>
    </row>
    <row r="38" spans="2:6" ht="30" customHeight="1" x14ac:dyDescent="0.25">
      <c r="B38" s="25" t="s">
        <v>12</v>
      </c>
      <c r="C38" s="26" t="s">
        <v>133</v>
      </c>
      <c r="D38" s="27" t="s">
        <v>75</v>
      </c>
      <c r="E38" s="28" t="s">
        <v>132</v>
      </c>
      <c r="F38" s="29">
        <v>45046</v>
      </c>
    </row>
    <row r="39" spans="2:6" ht="30" customHeight="1" x14ac:dyDescent="0.25">
      <c r="B39" s="17" t="s">
        <v>12</v>
      </c>
      <c r="C39" s="18" t="s">
        <v>134</v>
      </c>
      <c r="D39" s="27" t="s">
        <v>75</v>
      </c>
      <c r="E39" s="11" t="s">
        <v>62</v>
      </c>
      <c r="F39" s="12">
        <v>45046</v>
      </c>
    </row>
    <row r="40" spans="2:6" ht="30" customHeight="1" x14ac:dyDescent="0.25">
      <c r="B40" s="25" t="s">
        <v>135</v>
      </c>
      <c r="C40" s="26" t="s">
        <v>136</v>
      </c>
      <c r="D40" s="27" t="s">
        <v>75</v>
      </c>
      <c r="E40" s="28" t="s">
        <v>137</v>
      </c>
      <c r="F40" s="29">
        <v>45046</v>
      </c>
    </row>
    <row r="41" spans="2:6" ht="30" customHeight="1" x14ac:dyDescent="0.25">
      <c r="B41" s="17" t="s">
        <v>135</v>
      </c>
      <c r="C41" s="18" t="s">
        <v>138</v>
      </c>
      <c r="D41" s="27" t="s">
        <v>75</v>
      </c>
      <c r="E41" s="11" t="s">
        <v>137</v>
      </c>
      <c r="F41" s="12">
        <v>45046</v>
      </c>
    </row>
    <row r="42" spans="2:6" ht="30" customHeight="1" x14ac:dyDescent="0.25">
      <c r="B42" s="25" t="s">
        <v>135</v>
      </c>
      <c r="C42" s="26" t="s">
        <v>139</v>
      </c>
      <c r="D42" s="27" t="s">
        <v>75</v>
      </c>
      <c r="E42" s="28" t="s">
        <v>140</v>
      </c>
      <c r="F42" s="29">
        <v>45046</v>
      </c>
    </row>
    <row r="43" spans="2:6" ht="30" customHeight="1" x14ac:dyDescent="0.25">
      <c r="B43" s="17" t="s">
        <v>135</v>
      </c>
      <c r="C43" s="18" t="s">
        <v>141</v>
      </c>
      <c r="D43" s="27" t="s">
        <v>75</v>
      </c>
      <c r="E43" s="11" t="s">
        <v>62</v>
      </c>
      <c r="F43" s="12">
        <v>45046</v>
      </c>
    </row>
    <row r="44" spans="2:6" ht="30" customHeight="1" x14ac:dyDescent="0.25">
      <c r="B44" s="25" t="s">
        <v>142</v>
      </c>
      <c r="C44" s="26" t="s">
        <v>143</v>
      </c>
      <c r="D44" s="27" t="s">
        <v>75</v>
      </c>
      <c r="E44" s="28" t="s">
        <v>144</v>
      </c>
      <c r="F44" s="29">
        <v>45046</v>
      </c>
    </row>
    <row r="45" spans="2:6" ht="30" customHeight="1" x14ac:dyDescent="0.25">
      <c r="B45" s="17" t="s">
        <v>66</v>
      </c>
      <c r="C45" s="18" t="s">
        <v>145</v>
      </c>
      <c r="D45" s="27" t="s">
        <v>75</v>
      </c>
      <c r="E45" s="11" t="s">
        <v>146</v>
      </c>
      <c r="F45" s="12">
        <v>45046</v>
      </c>
    </row>
    <row r="46" spans="2:6" ht="30" customHeight="1" x14ac:dyDescent="0.25">
      <c r="B46" s="25" t="s">
        <v>147</v>
      </c>
      <c r="C46" s="26" t="s">
        <v>148</v>
      </c>
      <c r="D46" s="27" t="s">
        <v>75</v>
      </c>
      <c r="E46" s="28" t="s">
        <v>149</v>
      </c>
      <c r="F46" s="29">
        <v>45046</v>
      </c>
    </row>
    <row r="47" spans="2:6" ht="30" customHeight="1" x14ac:dyDescent="0.25">
      <c r="B47" s="17" t="s">
        <v>150</v>
      </c>
      <c r="C47" s="18" t="s">
        <v>151</v>
      </c>
      <c r="D47" s="27" t="s">
        <v>75</v>
      </c>
      <c r="E47" s="11" t="s">
        <v>56</v>
      </c>
      <c r="F47" s="12">
        <v>45046</v>
      </c>
    </row>
    <row r="48" spans="2:6" ht="30" customHeight="1" x14ac:dyDescent="0.25">
      <c r="B48" s="25" t="s">
        <v>67</v>
      </c>
      <c r="C48" s="26" t="s">
        <v>152</v>
      </c>
      <c r="D48" s="27" t="s">
        <v>75</v>
      </c>
      <c r="E48" s="28" t="s">
        <v>153</v>
      </c>
      <c r="F48" s="29">
        <v>45046</v>
      </c>
    </row>
    <row r="49" spans="2:6" ht="30" customHeight="1" x14ac:dyDescent="0.25">
      <c r="B49" s="17" t="s">
        <v>154</v>
      </c>
      <c r="C49" s="18" t="s">
        <v>155</v>
      </c>
      <c r="D49" s="27" t="s">
        <v>75</v>
      </c>
      <c r="E49" s="11" t="s">
        <v>156</v>
      </c>
      <c r="F49" s="12">
        <v>45046</v>
      </c>
    </row>
    <row r="50" spans="2:6" ht="30" customHeight="1" x14ac:dyDescent="0.25">
      <c r="B50" s="25" t="s">
        <v>157</v>
      </c>
      <c r="C50" s="26" t="s">
        <v>158</v>
      </c>
      <c r="D50" s="27" t="s">
        <v>75</v>
      </c>
      <c r="E50" s="28" t="s">
        <v>76</v>
      </c>
      <c r="F50" s="29">
        <v>45046</v>
      </c>
    </row>
    <row r="51" spans="2:6" ht="30" customHeight="1" x14ac:dyDescent="0.25">
      <c r="B51" s="17" t="s">
        <v>157</v>
      </c>
      <c r="C51" s="18" t="s">
        <v>82</v>
      </c>
      <c r="D51" s="27" t="s">
        <v>75</v>
      </c>
      <c r="E51" s="11" t="s">
        <v>76</v>
      </c>
      <c r="F51" s="12">
        <v>45046</v>
      </c>
    </row>
    <row r="52" spans="2:6" ht="30" customHeight="1" x14ac:dyDescent="0.25">
      <c r="B52" s="25" t="s">
        <v>10</v>
      </c>
      <c r="C52" s="26" t="s">
        <v>159</v>
      </c>
      <c r="D52" s="27" t="s">
        <v>75</v>
      </c>
      <c r="E52" s="28" t="s">
        <v>160</v>
      </c>
      <c r="F52" s="29">
        <v>45046</v>
      </c>
    </row>
    <row r="53" spans="2:6" ht="30" customHeight="1" x14ac:dyDescent="0.25">
      <c r="B53" s="17" t="s">
        <v>161</v>
      </c>
      <c r="C53" s="18" t="s">
        <v>162</v>
      </c>
      <c r="D53" s="27" t="s">
        <v>75</v>
      </c>
      <c r="E53" s="11" t="s">
        <v>163</v>
      </c>
      <c r="F53" s="12">
        <v>45046</v>
      </c>
    </row>
    <row r="54" spans="2:6" ht="30" customHeight="1" x14ac:dyDescent="0.25">
      <c r="B54" s="25" t="s">
        <v>164</v>
      </c>
      <c r="C54" s="26" t="s">
        <v>165</v>
      </c>
      <c r="D54" s="27" t="s">
        <v>75</v>
      </c>
      <c r="E54" s="28" t="s">
        <v>166</v>
      </c>
      <c r="F54" s="29">
        <v>45046</v>
      </c>
    </row>
    <row r="55" spans="2:6" ht="30" customHeight="1" x14ac:dyDescent="0.25">
      <c r="B55" s="17" t="s">
        <v>167</v>
      </c>
      <c r="C55" s="18" t="s">
        <v>168</v>
      </c>
      <c r="D55" s="27" t="s">
        <v>75</v>
      </c>
      <c r="E55" s="11" t="s">
        <v>79</v>
      </c>
      <c r="F55" s="12">
        <v>45046</v>
      </c>
    </row>
    <row r="56" spans="2:6" ht="30" customHeight="1" x14ac:dyDescent="0.25">
      <c r="B56" s="25" t="s">
        <v>169</v>
      </c>
      <c r="C56" s="26" t="s">
        <v>74</v>
      </c>
      <c r="D56" s="27" t="s">
        <v>75</v>
      </c>
      <c r="E56" s="28" t="s">
        <v>170</v>
      </c>
      <c r="F56" s="29">
        <v>45046</v>
      </c>
    </row>
    <row r="57" spans="2:6" ht="30" customHeight="1" x14ac:dyDescent="0.25">
      <c r="B57" s="17" t="s">
        <v>171</v>
      </c>
      <c r="C57" s="18" t="s">
        <v>172</v>
      </c>
      <c r="D57" s="27" t="s">
        <v>75</v>
      </c>
      <c r="E57" s="11" t="s">
        <v>170</v>
      </c>
      <c r="F57" s="12">
        <v>45046</v>
      </c>
    </row>
    <row r="58" spans="2:6" ht="30" customHeight="1" x14ac:dyDescent="0.25">
      <c r="B58" s="25" t="s">
        <v>173</v>
      </c>
      <c r="C58" s="26" t="s">
        <v>174</v>
      </c>
      <c r="D58" s="27" t="s">
        <v>75</v>
      </c>
      <c r="E58" s="28" t="s">
        <v>175</v>
      </c>
      <c r="F58" s="29">
        <v>45046</v>
      </c>
    </row>
    <row r="59" spans="2:6" ht="30" customHeight="1" x14ac:dyDescent="0.25">
      <c r="B59" s="17" t="s">
        <v>176</v>
      </c>
      <c r="C59" s="18" t="s">
        <v>177</v>
      </c>
      <c r="D59" s="27" t="s">
        <v>75</v>
      </c>
      <c r="E59" s="11" t="s">
        <v>178</v>
      </c>
      <c r="F59" s="12">
        <v>45046</v>
      </c>
    </row>
    <row r="60" spans="2:6" ht="30" customHeight="1" x14ac:dyDescent="0.25">
      <c r="B60" s="25" t="s">
        <v>176</v>
      </c>
      <c r="C60" s="26" t="s">
        <v>179</v>
      </c>
      <c r="D60" s="27" t="s">
        <v>75</v>
      </c>
      <c r="E60" s="28" t="s">
        <v>178</v>
      </c>
      <c r="F60" s="29">
        <v>45046</v>
      </c>
    </row>
    <row r="61" spans="2:6" ht="30" customHeight="1" x14ac:dyDescent="0.25">
      <c r="B61" s="17" t="s">
        <v>180</v>
      </c>
      <c r="C61" s="18" t="s">
        <v>78</v>
      </c>
      <c r="D61" s="27" t="s">
        <v>75</v>
      </c>
      <c r="E61" s="11" t="s">
        <v>181</v>
      </c>
      <c r="F61" s="12">
        <v>45046</v>
      </c>
    </row>
    <row r="62" spans="2:6" ht="30" customHeight="1" x14ac:dyDescent="0.25">
      <c r="B62" s="25" t="s">
        <v>182</v>
      </c>
      <c r="C62" s="26" t="s">
        <v>183</v>
      </c>
      <c r="D62" s="27" t="s">
        <v>75</v>
      </c>
      <c r="E62" s="28" t="s">
        <v>184</v>
      </c>
      <c r="F62" s="29">
        <v>45046</v>
      </c>
    </row>
    <row r="63" spans="2:6" ht="30" customHeight="1" x14ac:dyDescent="0.25">
      <c r="B63" s="17" t="s">
        <v>182</v>
      </c>
      <c r="C63" s="18" t="s">
        <v>185</v>
      </c>
      <c r="D63" s="27" t="s">
        <v>75</v>
      </c>
      <c r="E63" s="11" t="s">
        <v>96</v>
      </c>
      <c r="F63" s="12">
        <v>45046</v>
      </c>
    </row>
    <row r="64" spans="2:6" ht="30" customHeight="1" x14ac:dyDescent="0.25">
      <c r="B64" s="25" t="s">
        <v>182</v>
      </c>
      <c r="C64" s="26" t="s">
        <v>186</v>
      </c>
      <c r="D64" s="27" t="s">
        <v>75</v>
      </c>
      <c r="E64" s="28" t="s">
        <v>62</v>
      </c>
      <c r="F64" s="29">
        <v>45046</v>
      </c>
    </row>
    <row r="65" spans="2:6" ht="30" customHeight="1" x14ac:dyDescent="0.25">
      <c r="B65" s="17" t="s">
        <v>182</v>
      </c>
      <c r="C65" s="18" t="s">
        <v>187</v>
      </c>
      <c r="D65" s="27" t="s">
        <v>75</v>
      </c>
      <c r="E65" s="11" t="s">
        <v>184</v>
      </c>
      <c r="F65" s="12">
        <v>45046</v>
      </c>
    </row>
    <row r="66" spans="2:6" ht="30" customHeight="1" x14ac:dyDescent="0.25">
      <c r="B66" s="25" t="s">
        <v>188</v>
      </c>
      <c r="C66" s="26" t="s">
        <v>189</v>
      </c>
      <c r="D66" s="27" t="s">
        <v>75</v>
      </c>
      <c r="E66" s="28" t="s">
        <v>79</v>
      </c>
      <c r="F66" s="29">
        <v>45046</v>
      </c>
    </row>
    <row r="67" spans="2:6" ht="30" customHeight="1" x14ac:dyDescent="0.25">
      <c r="B67" s="17" t="s">
        <v>188</v>
      </c>
      <c r="C67" s="18" t="s">
        <v>190</v>
      </c>
      <c r="D67" s="27" t="s">
        <v>75</v>
      </c>
      <c r="E67" s="11" t="s">
        <v>79</v>
      </c>
      <c r="F67" s="12">
        <v>45046</v>
      </c>
    </row>
    <row r="68" spans="2:6" ht="30" customHeight="1" x14ac:dyDescent="0.25">
      <c r="B68" s="25" t="s">
        <v>188</v>
      </c>
      <c r="C68" s="26" t="s">
        <v>191</v>
      </c>
      <c r="D68" s="27" t="s">
        <v>75</v>
      </c>
      <c r="E68" s="28" t="s">
        <v>79</v>
      </c>
      <c r="F68" s="29">
        <v>45046</v>
      </c>
    </row>
    <row r="69" spans="2:6" ht="30" customHeight="1" x14ac:dyDescent="0.25">
      <c r="B69" s="17" t="s">
        <v>68</v>
      </c>
      <c r="C69" s="18" t="s">
        <v>192</v>
      </c>
      <c r="D69" s="27" t="s">
        <v>75</v>
      </c>
      <c r="E69" s="11" t="s">
        <v>144</v>
      </c>
      <c r="F69" s="12">
        <v>45046</v>
      </c>
    </row>
    <row r="70" spans="2:6" ht="30" customHeight="1" x14ac:dyDescent="0.25">
      <c r="B70" s="25" t="s">
        <v>193</v>
      </c>
      <c r="C70" s="26" t="s">
        <v>194</v>
      </c>
      <c r="D70" s="27" t="s">
        <v>75</v>
      </c>
      <c r="E70" s="28" t="s">
        <v>76</v>
      </c>
      <c r="F70" s="29">
        <v>45046</v>
      </c>
    </row>
    <row r="71" spans="2:6" ht="30" customHeight="1" x14ac:dyDescent="0.25">
      <c r="B71" s="17" t="s">
        <v>195</v>
      </c>
      <c r="C71" s="18" t="s">
        <v>78</v>
      </c>
      <c r="D71" s="27" t="s">
        <v>75</v>
      </c>
      <c r="E71" s="11" t="s">
        <v>181</v>
      </c>
      <c r="F71" s="12">
        <v>45046</v>
      </c>
    </row>
    <row r="72" spans="2:6" ht="30" customHeight="1" x14ac:dyDescent="0.25">
      <c r="B72" s="25" t="s">
        <v>196</v>
      </c>
      <c r="C72" s="26" t="s">
        <v>197</v>
      </c>
      <c r="D72" s="27" t="s">
        <v>75</v>
      </c>
      <c r="E72" s="28" t="s">
        <v>76</v>
      </c>
      <c r="F72" s="29">
        <v>45046</v>
      </c>
    </row>
    <row r="73" spans="2:6" ht="30" customHeight="1" x14ac:dyDescent="0.25">
      <c r="B73" s="17" t="s">
        <v>196</v>
      </c>
      <c r="C73" s="18" t="s">
        <v>198</v>
      </c>
      <c r="D73" s="27" t="s">
        <v>75</v>
      </c>
      <c r="E73" s="11" t="s">
        <v>76</v>
      </c>
      <c r="F73" s="12">
        <v>45046</v>
      </c>
    </row>
    <row r="74" spans="2:6" ht="30" customHeight="1" x14ac:dyDescent="0.25">
      <c r="B74" s="25" t="s">
        <v>8</v>
      </c>
      <c r="C74" s="26" t="s">
        <v>199</v>
      </c>
      <c r="D74" s="27" t="s">
        <v>75</v>
      </c>
      <c r="E74" s="28" t="s">
        <v>79</v>
      </c>
      <c r="F74" s="29">
        <v>45046</v>
      </c>
    </row>
    <row r="75" spans="2:6" ht="30" customHeight="1" x14ac:dyDescent="0.25">
      <c r="B75" s="17" t="s">
        <v>8</v>
      </c>
      <c r="C75" s="18" t="s">
        <v>200</v>
      </c>
      <c r="D75" s="27" t="s">
        <v>75</v>
      </c>
      <c r="E75" s="11" t="s">
        <v>79</v>
      </c>
      <c r="F75" s="12">
        <v>45046</v>
      </c>
    </row>
    <row r="76" spans="2:6" ht="30" customHeight="1" x14ac:dyDescent="0.25">
      <c r="B76" s="25" t="s">
        <v>201</v>
      </c>
      <c r="C76" s="26" t="s">
        <v>202</v>
      </c>
      <c r="D76" s="27" t="s">
        <v>75</v>
      </c>
      <c r="E76" s="28" t="s">
        <v>203</v>
      </c>
      <c r="F76" s="29">
        <v>45046</v>
      </c>
    </row>
    <row r="77" spans="2:6" ht="30" customHeight="1" x14ac:dyDescent="0.25">
      <c r="B77" s="17" t="s">
        <v>201</v>
      </c>
      <c r="C77" s="18" t="s">
        <v>78</v>
      </c>
      <c r="D77" s="27" t="s">
        <v>75</v>
      </c>
      <c r="E77" s="11" t="s">
        <v>79</v>
      </c>
      <c r="F77" s="12">
        <v>45046</v>
      </c>
    </row>
    <row r="78" spans="2:6" ht="30" customHeight="1" x14ac:dyDescent="0.25">
      <c r="B78" s="25" t="s">
        <v>204</v>
      </c>
      <c r="C78" s="26" t="s">
        <v>205</v>
      </c>
      <c r="D78" s="27" t="s">
        <v>75</v>
      </c>
      <c r="E78" s="28" t="s">
        <v>76</v>
      </c>
      <c r="F78" s="29">
        <v>45046</v>
      </c>
    </row>
    <row r="79" spans="2:6" ht="30" customHeight="1" x14ac:dyDescent="0.25">
      <c r="B79" s="17" t="s">
        <v>204</v>
      </c>
      <c r="C79" s="18" t="s">
        <v>82</v>
      </c>
      <c r="D79" s="27" t="s">
        <v>75</v>
      </c>
      <c r="E79" s="11" t="s">
        <v>76</v>
      </c>
      <c r="F79" s="12">
        <v>45046</v>
      </c>
    </row>
    <row r="80" spans="2:6" ht="30" customHeight="1" x14ac:dyDescent="0.25">
      <c r="B80" s="25" t="s">
        <v>73</v>
      </c>
      <c r="C80" s="26" t="s">
        <v>206</v>
      </c>
      <c r="D80" s="27" t="s">
        <v>75</v>
      </c>
      <c r="E80" s="28" t="s">
        <v>79</v>
      </c>
      <c r="F80" s="29">
        <v>45079</v>
      </c>
    </row>
    <row r="81" spans="2:6" ht="30" customHeight="1" x14ac:dyDescent="0.25">
      <c r="B81" s="17" t="s">
        <v>16</v>
      </c>
      <c r="C81" s="18" t="s">
        <v>39</v>
      </c>
      <c r="D81" s="27" t="s">
        <v>75</v>
      </c>
      <c r="E81" s="11" t="s">
        <v>79</v>
      </c>
      <c r="F81" s="12">
        <v>45046</v>
      </c>
    </row>
    <row r="82" spans="2:6" ht="30" customHeight="1" x14ac:dyDescent="0.25">
      <c r="B82" s="25" t="s">
        <v>69</v>
      </c>
      <c r="C82" s="26" t="s">
        <v>207</v>
      </c>
      <c r="D82" s="27" t="s">
        <v>75</v>
      </c>
      <c r="E82" s="28" t="s">
        <v>79</v>
      </c>
      <c r="F82" s="29">
        <v>45046</v>
      </c>
    </row>
    <row r="83" spans="2:6" ht="30" customHeight="1" x14ac:dyDescent="0.25">
      <c r="B83" s="17" t="s">
        <v>73</v>
      </c>
      <c r="C83" s="18" t="s">
        <v>208</v>
      </c>
      <c r="D83" s="27" t="s">
        <v>75</v>
      </c>
      <c r="E83" s="11" t="s">
        <v>79</v>
      </c>
      <c r="F83" s="12">
        <v>45079</v>
      </c>
    </row>
    <row r="84" spans="2:6" ht="30" customHeight="1" x14ac:dyDescent="0.25">
      <c r="B84" s="25" t="s">
        <v>209</v>
      </c>
      <c r="C84" s="26" t="s">
        <v>202</v>
      </c>
      <c r="D84" s="27" t="s">
        <v>75</v>
      </c>
      <c r="E84" s="28" t="s">
        <v>79</v>
      </c>
      <c r="F84" s="29">
        <v>45046</v>
      </c>
    </row>
    <row r="85" spans="2:6" ht="30" customHeight="1" x14ac:dyDescent="0.25">
      <c r="B85" s="17" t="s">
        <v>171</v>
      </c>
      <c r="C85" s="18" t="s">
        <v>210</v>
      </c>
      <c r="D85" s="27" t="s">
        <v>75</v>
      </c>
      <c r="E85" s="11" t="s">
        <v>79</v>
      </c>
      <c r="F85" s="12">
        <v>45097</v>
      </c>
    </row>
    <row r="86" spans="2:6" ht="30" customHeight="1" x14ac:dyDescent="0.25">
      <c r="B86" s="25" t="s">
        <v>171</v>
      </c>
      <c r="C86" s="26" t="s">
        <v>211</v>
      </c>
      <c r="D86" s="27" t="s">
        <v>75</v>
      </c>
      <c r="E86" s="28" t="s">
        <v>79</v>
      </c>
      <c r="F86" s="29">
        <v>45097</v>
      </c>
    </row>
    <row r="87" spans="2:6" ht="30" customHeight="1" x14ac:dyDescent="0.25">
      <c r="B87" s="17" t="s">
        <v>171</v>
      </c>
      <c r="C87" s="18" t="s">
        <v>212</v>
      </c>
      <c r="D87" s="27" t="s">
        <v>75</v>
      </c>
      <c r="E87" s="11" t="s">
        <v>79</v>
      </c>
      <c r="F87" s="12">
        <v>45463</v>
      </c>
    </row>
    <row r="88" spans="2:6" ht="30" customHeight="1" x14ac:dyDescent="0.25">
      <c r="B88" s="25" t="s">
        <v>73</v>
      </c>
      <c r="C88" s="26" t="s">
        <v>213</v>
      </c>
      <c r="D88" s="27" t="s">
        <v>75</v>
      </c>
      <c r="E88" s="28" t="s">
        <v>144</v>
      </c>
      <c r="F88" s="28"/>
    </row>
    <row r="89" spans="2:6" ht="30" customHeight="1" x14ac:dyDescent="0.25">
      <c r="B89" s="17" t="s">
        <v>157</v>
      </c>
      <c r="C89" s="18" t="s">
        <v>39</v>
      </c>
      <c r="D89" s="27" t="s">
        <v>75</v>
      </c>
      <c r="E89" s="11" t="s">
        <v>76</v>
      </c>
      <c r="F89" s="11"/>
    </row>
    <row r="90" spans="2:6" ht="30" customHeight="1" x14ac:dyDescent="0.25">
      <c r="B90" s="25" t="s">
        <v>114</v>
      </c>
      <c r="C90" s="26" t="s">
        <v>214</v>
      </c>
      <c r="D90" s="27" t="s">
        <v>75</v>
      </c>
      <c r="E90" s="28" t="s">
        <v>76</v>
      </c>
      <c r="F90" s="28"/>
    </row>
    <row r="91" spans="2:6" ht="30" customHeight="1" x14ac:dyDescent="0.25">
      <c r="B91" s="17" t="s">
        <v>157</v>
      </c>
      <c r="C91" s="18" t="s">
        <v>215</v>
      </c>
      <c r="D91" s="27" t="s">
        <v>75</v>
      </c>
      <c r="E91" s="11" t="s">
        <v>76</v>
      </c>
      <c r="F91" s="11"/>
    </row>
    <row r="92" spans="2:6" ht="30" customHeight="1" x14ac:dyDescent="0.25">
      <c r="B92" s="25" t="s">
        <v>173</v>
      </c>
      <c r="C92" s="26" t="s">
        <v>216</v>
      </c>
      <c r="D92" s="27" t="s">
        <v>75</v>
      </c>
      <c r="E92" s="28" t="s">
        <v>76</v>
      </c>
      <c r="F92" s="28"/>
    </row>
    <row r="93" spans="2:6" ht="30" customHeight="1" x14ac:dyDescent="0.25">
      <c r="B93" s="17" t="s">
        <v>80</v>
      </c>
      <c r="C93" s="18" t="s">
        <v>217</v>
      </c>
      <c r="D93" s="27" t="s">
        <v>75</v>
      </c>
      <c r="E93" s="11" t="s">
        <v>62</v>
      </c>
      <c r="F93" s="11"/>
    </row>
    <row r="94" spans="2:6" ht="30" customHeight="1" x14ac:dyDescent="0.25">
      <c r="B94" s="25" t="s">
        <v>80</v>
      </c>
      <c r="C94" s="26" t="s">
        <v>218</v>
      </c>
      <c r="D94" s="27" t="s">
        <v>75</v>
      </c>
      <c r="E94" s="28" t="s">
        <v>62</v>
      </c>
      <c r="F94" s="28"/>
    </row>
    <row r="95" spans="2:6" ht="30" customHeight="1" x14ac:dyDescent="0.25">
      <c r="B95" s="17" t="s">
        <v>176</v>
      </c>
      <c r="C95" s="18" t="s">
        <v>219</v>
      </c>
      <c r="D95" s="27" t="s">
        <v>75</v>
      </c>
      <c r="E95" s="11" t="s">
        <v>62</v>
      </c>
      <c r="F95" s="11"/>
    </row>
    <row r="96" spans="2:6" ht="30" customHeight="1" x14ac:dyDescent="0.25">
      <c r="B96" s="25" t="s">
        <v>220</v>
      </c>
      <c r="C96" s="26" t="s">
        <v>221</v>
      </c>
      <c r="D96" s="27" t="s">
        <v>75</v>
      </c>
      <c r="E96" s="28" t="s">
        <v>76</v>
      </c>
      <c r="F96" s="28"/>
    </row>
    <row r="97" spans="2:6" ht="30" customHeight="1" x14ac:dyDescent="0.25">
      <c r="B97" s="17" t="s">
        <v>222</v>
      </c>
      <c r="C97" s="18" t="s">
        <v>223</v>
      </c>
      <c r="D97" s="27" t="s">
        <v>75</v>
      </c>
      <c r="E97" s="11" t="s">
        <v>56</v>
      </c>
      <c r="F97" s="11"/>
    </row>
    <row r="98" spans="2:6" ht="30" customHeight="1" x14ac:dyDescent="0.25">
      <c r="B98" s="25" t="s">
        <v>129</v>
      </c>
      <c r="C98" s="26" t="s">
        <v>224</v>
      </c>
      <c r="D98" s="27" t="s">
        <v>75</v>
      </c>
      <c r="E98" s="28" t="s">
        <v>56</v>
      </c>
      <c r="F98" s="28"/>
    </row>
    <row r="99" spans="2:6" ht="30" customHeight="1" x14ac:dyDescent="0.25">
      <c r="B99" s="17" t="s">
        <v>150</v>
      </c>
      <c r="C99" s="18" t="s">
        <v>225</v>
      </c>
      <c r="D99" s="27" t="s">
        <v>75</v>
      </c>
      <c r="E99" s="11" t="s">
        <v>56</v>
      </c>
      <c r="F99" s="11"/>
    </row>
    <row r="100" spans="2:6" ht="30" customHeight="1" x14ac:dyDescent="0.25">
      <c r="B100" s="25" t="s">
        <v>226</v>
      </c>
      <c r="C100" s="26" t="s">
        <v>227</v>
      </c>
      <c r="D100" s="27" t="s">
        <v>75</v>
      </c>
      <c r="E100" s="28" t="s">
        <v>56</v>
      </c>
      <c r="F100" s="28"/>
    </row>
    <row r="101" spans="2:6" ht="30" customHeight="1" x14ac:dyDescent="0.25">
      <c r="B101" s="17" t="s">
        <v>129</v>
      </c>
      <c r="C101" s="18" t="s">
        <v>228</v>
      </c>
      <c r="D101" s="27" t="s">
        <v>75</v>
      </c>
      <c r="E101" s="11" t="s">
        <v>56</v>
      </c>
      <c r="F101" s="11"/>
    </row>
    <row r="102" spans="2:6" ht="30" customHeight="1" x14ac:dyDescent="0.25">
      <c r="B102" s="25" t="s">
        <v>80</v>
      </c>
      <c r="C102" s="26" t="s">
        <v>229</v>
      </c>
      <c r="D102" s="27" t="s">
        <v>75</v>
      </c>
      <c r="E102" s="28" t="s">
        <v>56</v>
      </c>
      <c r="F102" s="28"/>
    </row>
    <row r="103" spans="2:6" ht="30" customHeight="1" x14ac:dyDescent="0.25">
      <c r="B103" s="17" t="s">
        <v>230</v>
      </c>
      <c r="C103" s="18" t="s">
        <v>231</v>
      </c>
      <c r="D103" s="27" t="s">
        <v>75</v>
      </c>
      <c r="E103" s="11" t="s">
        <v>56</v>
      </c>
      <c r="F103" s="11"/>
    </row>
    <row r="104" spans="2:6" ht="30" customHeight="1" x14ac:dyDescent="0.25">
      <c r="B104" s="25" t="s">
        <v>67</v>
      </c>
      <c r="C104" s="26" t="s">
        <v>232</v>
      </c>
      <c r="D104" s="27" t="s">
        <v>75</v>
      </c>
      <c r="E104" s="28" t="s">
        <v>79</v>
      </c>
      <c r="F104" s="28"/>
    </row>
    <row r="105" spans="2:6" ht="30" customHeight="1" x14ac:dyDescent="0.25">
      <c r="B105" s="17" t="s">
        <v>233</v>
      </c>
      <c r="C105" s="18" t="s">
        <v>234</v>
      </c>
      <c r="D105" s="27" t="s">
        <v>75</v>
      </c>
      <c r="E105" s="11" t="s">
        <v>65</v>
      </c>
      <c r="F105" s="11"/>
    </row>
    <row r="106" spans="2:6" ht="30" customHeight="1" x14ac:dyDescent="0.25">
      <c r="B106" s="25" t="s">
        <v>233</v>
      </c>
      <c r="C106" s="26" t="s">
        <v>235</v>
      </c>
      <c r="D106" s="27" t="s">
        <v>75</v>
      </c>
      <c r="E106" s="28" t="s">
        <v>65</v>
      </c>
      <c r="F106" s="28"/>
    </row>
    <row r="107" spans="2:6" ht="30" customHeight="1" x14ac:dyDescent="0.25">
      <c r="B107" s="17" t="s">
        <v>233</v>
      </c>
      <c r="C107" s="18" t="s">
        <v>236</v>
      </c>
      <c r="D107" s="27" t="s">
        <v>75</v>
      </c>
      <c r="E107" s="11" t="s">
        <v>65</v>
      </c>
      <c r="F107" s="11"/>
    </row>
    <row r="108" spans="2:6" ht="30" customHeight="1" x14ac:dyDescent="0.25">
      <c r="B108" s="25" t="s">
        <v>233</v>
      </c>
      <c r="C108" s="26" t="s">
        <v>237</v>
      </c>
      <c r="D108" s="27" t="s">
        <v>75</v>
      </c>
      <c r="E108" s="28" t="s">
        <v>65</v>
      </c>
      <c r="F108" s="28"/>
    </row>
    <row r="109" spans="2:6" ht="30" customHeight="1" x14ac:dyDescent="0.25">
      <c r="B109" s="17" t="s">
        <v>233</v>
      </c>
      <c r="C109" s="18" t="s">
        <v>238</v>
      </c>
      <c r="D109" s="27" t="s">
        <v>75</v>
      </c>
      <c r="E109" s="11" t="s">
        <v>65</v>
      </c>
      <c r="F109" s="11"/>
    </row>
    <row r="110" spans="2:6" ht="30" customHeight="1" x14ac:dyDescent="0.25">
      <c r="B110" s="25" t="s">
        <v>233</v>
      </c>
      <c r="C110" s="26" t="s">
        <v>239</v>
      </c>
      <c r="D110" s="27" t="s">
        <v>75</v>
      </c>
      <c r="E110" s="28" t="s">
        <v>65</v>
      </c>
      <c r="F110" s="28"/>
    </row>
    <row r="111" spans="2:6" ht="30" customHeight="1" x14ac:dyDescent="0.25">
      <c r="B111" s="17" t="s">
        <v>233</v>
      </c>
      <c r="C111" s="18" t="s">
        <v>240</v>
      </c>
      <c r="D111" s="27" t="s">
        <v>75</v>
      </c>
      <c r="E111" s="11" t="s">
        <v>65</v>
      </c>
      <c r="F111" s="11"/>
    </row>
    <row r="112" spans="2:6" ht="30" customHeight="1" x14ac:dyDescent="0.25">
      <c r="B112" s="25" t="s">
        <v>233</v>
      </c>
      <c r="C112" s="26" t="s">
        <v>241</v>
      </c>
      <c r="D112" s="27" t="s">
        <v>75</v>
      </c>
      <c r="E112" s="28" t="s">
        <v>65</v>
      </c>
      <c r="F112" s="28"/>
    </row>
    <row r="113" spans="2:6" ht="30" customHeight="1" x14ac:dyDescent="0.25">
      <c r="B113" s="17" t="s">
        <v>59</v>
      </c>
      <c r="C113" s="18" t="s">
        <v>242</v>
      </c>
      <c r="D113" s="27" t="s">
        <v>75</v>
      </c>
      <c r="E113" s="11" t="s">
        <v>65</v>
      </c>
      <c r="F113" s="11"/>
    </row>
    <row r="114" spans="2:6" ht="30" customHeight="1" x14ac:dyDescent="0.25">
      <c r="B114" s="25" t="s">
        <v>59</v>
      </c>
      <c r="C114" s="26" t="s">
        <v>60</v>
      </c>
      <c r="D114" s="27" t="s">
        <v>75</v>
      </c>
      <c r="E114" s="28" t="s">
        <v>65</v>
      </c>
      <c r="F114" s="28"/>
    </row>
    <row r="115" spans="2:6" ht="30" customHeight="1" x14ac:dyDescent="0.25">
      <c r="B115" s="17" t="s">
        <v>59</v>
      </c>
      <c r="C115" s="18" t="s">
        <v>61</v>
      </c>
      <c r="D115" s="27" t="s">
        <v>75</v>
      </c>
      <c r="E115" s="11" t="s">
        <v>65</v>
      </c>
      <c r="F115" s="11"/>
    </row>
    <row r="116" spans="2:6" ht="30" customHeight="1" x14ac:dyDescent="0.25">
      <c r="B116" s="25" t="s">
        <v>129</v>
      </c>
      <c r="C116" s="26" t="s">
        <v>243</v>
      </c>
      <c r="D116" s="27" t="s">
        <v>75</v>
      </c>
      <c r="E116" s="28" t="s">
        <v>56</v>
      </c>
      <c r="F116" s="28"/>
    </row>
    <row r="117" spans="2:6" ht="30" customHeight="1" x14ac:dyDescent="0.25">
      <c r="B117" s="17" t="s">
        <v>129</v>
      </c>
      <c r="C117" s="18" t="s">
        <v>244</v>
      </c>
      <c r="D117" s="27" t="s">
        <v>75</v>
      </c>
      <c r="E117" s="11" t="s">
        <v>56</v>
      </c>
      <c r="F117" s="11"/>
    </row>
    <row r="118" spans="2:6" ht="30" customHeight="1" x14ac:dyDescent="0.25">
      <c r="B118" s="25" t="s">
        <v>129</v>
      </c>
      <c r="C118" s="26" t="s">
        <v>245</v>
      </c>
      <c r="D118" s="27" t="s">
        <v>75</v>
      </c>
      <c r="E118" s="28" t="s">
        <v>56</v>
      </c>
      <c r="F118" s="28"/>
    </row>
    <row r="119" spans="2:6" ht="30" customHeight="1" x14ac:dyDescent="0.25">
      <c r="B119" s="17" t="s">
        <v>129</v>
      </c>
      <c r="C119" s="18" t="s">
        <v>246</v>
      </c>
      <c r="D119" s="27" t="s">
        <v>75</v>
      </c>
      <c r="E119" s="11" t="s">
        <v>56</v>
      </c>
      <c r="F119" s="11"/>
    </row>
    <row r="120" spans="2:6" ht="30" customHeight="1" x14ac:dyDescent="0.25">
      <c r="B120" s="25" t="s">
        <v>129</v>
      </c>
      <c r="C120" s="26" t="s">
        <v>247</v>
      </c>
      <c r="D120" s="27" t="s">
        <v>75</v>
      </c>
      <c r="E120" s="28" t="s">
        <v>56</v>
      </c>
      <c r="F120" s="28"/>
    </row>
    <row r="121" spans="2:6" ht="30" customHeight="1" x14ac:dyDescent="0.25">
      <c r="B121" s="17" t="s">
        <v>129</v>
      </c>
      <c r="C121" s="18" t="s">
        <v>248</v>
      </c>
      <c r="D121" s="27" t="s">
        <v>75</v>
      </c>
      <c r="E121" s="11" t="s">
        <v>56</v>
      </c>
      <c r="F121" s="11"/>
    </row>
    <row r="122" spans="2:6" ht="30" customHeight="1" x14ac:dyDescent="0.25">
      <c r="B122" s="25" t="s">
        <v>129</v>
      </c>
      <c r="C122" s="26" t="s">
        <v>249</v>
      </c>
      <c r="D122" s="27" t="s">
        <v>75</v>
      </c>
      <c r="E122" s="28" t="s">
        <v>56</v>
      </c>
      <c r="F122" s="28"/>
    </row>
    <row r="123" spans="2:6" ht="30" customHeight="1" x14ac:dyDescent="0.25">
      <c r="B123" s="17" t="s">
        <v>129</v>
      </c>
      <c r="C123" s="18" t="s">
        <v>250</v>
      </c>
      <c r="D123" s="27" t="s">
        <v>75</v>
      </c>
      <c r="E123" s="11" t="s">
        <v>56</v>
      </c>
      <c r="F123" s="11"/>
    </row>
    <row r="124" spans="2:6" ht="30" customHeight="1" x14ac:dyDescent="0.25">
      <c r="B124" s="25" t="s">
        <v>9</v>
      </c>
      <c r="C124" s="26" t="s">
        <v>251</v>
      </c>
      <c r="D124" s="27" t="s">
        <v>75</v>
      </c>
      <c r="E124" s="28" t="s">
        <v>65</v>
      </c>
      <c r="F124" s="28"/>
    </row>
    <row r="125" spans="2:6" ht="30" customHeight="1" x14ac:dyDescent="0.25">
      <c r="B125" s="17" t="s">
        <v>9</v>
      </c>
      <c r="C125" s="18" t="s">
        <v>252</v>
      </c>
      <c r="D125" s="27" t="s">
        <v>75</v>
      </c>
      <c r="E125" s="11" t="s">
        <v>65</v>
      </c>
      <c r="F125" s="11"/>
    </row>
    <row r="126" spans="2:6" ht="30" customHeight="1" x14ac:dyDescent="0.25">
      <c r="B126" s="25" t="s">
        <v>9</v>
      </c>
      <c r="C126" s="26" t="s">
        <v>253</v>
      </c>
      <c r="D126" s="27" t="s">
        <v>75</v>
      </c>
      <c r="E126" s="28" t="s">
        <v>65</v>
      </c>
      <c r="F126" s="28"/>
    </row>
    <row r="127" spans="2:6" ht="30" customHeight="1" x14ac:dyDescent="0.25">
      <c r="B127" s="17" t="s">
        <v>9</v>
      </c>
      <c r="C127" s="18" t="s">
        <v>254</v>
      </c>
      <c r="D127" s="27" t="s">
        <v>75</v>
      </c>
      <c r="E127" s="11" t="s">
        <v>65</v>
      </c>
      <c r="F127" s="11"/>
    </row>
    <row r="128" spans="2:6" ht="30" customHeight="1" x14ac:dyDescent="0.25">
      <c r="B128" s="25" t="s">
        <v>9</v>
      </c>
      <c r="C128" s="26" t="s">
        <v>255</v>
      </c>
      <c r="D128" s="27" t="s">
        <v>75</v>
      </c>
      <c r="E128" s="28" t="s">
        <v>65</v>
      </c>
      <c r="F128" s="28"/>
    </row>
    <row r="129" spans="2:6" ht="30" customHeight="1" x14ac:dyDescent="0.25">
      <c r="B129" s="17" t="s">
        <v>147</v>
      </c>
      <c r="C129" s="18" t="s">
        <v>256</v>
      </c>
      <c r="D129" s="27" t="s">
        <v>75</v>
      </c>
      <c r="E129" s="11" t="s">
        <v>76</v>
      </c>
      <c r="F129" s="11"/>
    </row>
    <row r="130" spans="2:6" ht="30" customHeight="1" x14ac:dyDescent="0.25">
      <c r="B130" s="25" t="s">
        <v>173</v>
      </c>
      <c r="C130" s="26" t="s">
        <v>39</v>
      </c>
      <c r="D130" s="27" t="s">
        <v>75</v>
      </c>
      <c r="E130" s="28" t="s">
        <v>76</v>
      </c>
      <c r="F130" s="28"/>
    </row>
    <row r="131" spans="2:6" ht="30" customHeight="1" x14ac:dyDescent="0.25">
      <c r="B131" s="17" t="s">
        <v>10</v>
      </c>
      <c r="C131" s="18" t="s">
        <v>257</v>
      </c>
      <c r="D131" s="27" t="s">
        <v>75</v>
      </c>
      <c r="E131" s="11" t="s">
        <v>144</v>
      </c>
      <c r="F131" s="11"/>
    </row>
    <row r="132" spans="2:6" ht="30" customHeight="1" x14ac:dyDescent="0.25">
      <c r="B132" s="25" t="s">
        <v>10</v>
      </c>
      <c r="C132" s="26" t="s">
        <v>258</v>
      </c>
      <c r="D132" s="27" t="s">
        <v>75</v>
      </c>
      <c r="E132" s="28" t="s">
        <v>144</v>
      </c>
      <c r="F132" s="28"/>
    </row>
    <row r="133" spans="2:6" ht="30" customHeight="1" x14ac:dyDescent="0.25">
      <c r="B133" s="17" t="s">
        <v>69</v>
      </c>
      <c r="C133" s="18" t="s">
        <v>259</v>
      </c>
      <c r="D133" s="27" t="s">
        <v>75</v>
      </c>
      <c r="E133" s="11" t="s">
        <v>144</v>
      </c>
      <c r="F133" s="11"/>
    </row>
    <row r="134" spans="2:6" ht="30" customHeight="1" x14ac:dyDescent="0.25">
      <c r="B134" s="25" t="s">
        <v>15</v>
      </c>
      <c r="C134" s="26" t="s">
        <v>260</v>
      </c>
      <c r="D134" s="27" t="s">
        <v>75</v>
      </c>
      <c r="E134" s="28" t="s">
        <v>144</v>
      </c>
      <c r="F134" s="28"/>
    </row>
    <row r="135" spans="2:6" ht="30" customHeight="1" x14ac:dyDescent="0.25">
      <c r="B135" s="17" t="s">
        <v>15</v>
      </c>
      <c r="C135" s="18" t="s">
        <v>261</v>
      </c>
      <c r="D135" s="27" t="s">
        <v>75</v>
      </c>
      <c r="E135" s="11" t="s">
        <v>144</v>
      </c>
      <c r="F135" s="11"/>
    </row>
    <row r="136" spans="2:6" ht="30" customHeight="1" x14ac:dyDescent="0.25">
      <c r="B136" s="25" t="s">
        <v>262</v>
      </c>
      <c r="C136" s="26" t="s">
        <v>263</v>
      </c>
      <c r="D136" s="27" t="s">
        <v>75</v>
      </c>
      <c r="E136" s="28" t="s">
        <v>144</v>
      </c>
      <c r="F136" s="28"/>
    </row>
    <row r="137" spans="2:6" ht="30" customHeight="1" x14ac:dyDescent="0.25">
      <c r="B137" s="17" t="s">
        <v>193</v>
      </c>
      <c r="C137" s="18" t="s">
        <v>264</v>
      </c>
      <c r="D137" s="27" t="s">
        <v>75</v>
      </c>
      <c r="E137" s="11" t="s">
        <v>144</v>
      </c>
      <c r="F137" s="11"/>
    </row>
    <row r="138" spans="2:6" ht="30" customHeight="1" x14ac:dyDescent="0.25">
      <c r="B138" s="25" t="s">
        <v>69</v>
      </c>
      <c r="C138" s="26" t="s">
        <v>265</v>
      </c>
      <c r="D138" s="27" t="s">
        <v>75</v>
      </c>
      <c r="E138" s="28" t="s">
        <v>79</v>
      </c>
      <c r="F138" s="28"/>
    </row>
    <row r="139" spans="2:6" ht="30" customHeight="1" x14ac:dyDescent="0.25">
      <c r="B139" s="17" t="s">
        <v>171</v>
      </c>
      <c r="C139" s="18" t="s">
        <v>266</v>
      </c>
      <c r="D139" s="27" t="s">
        <v>75</v>
      </c>
      <c r="E139" s="11" t="s">
        <v>79</v>
      </c>
      <c r="F139" s="11"/>
    </row>
    <row r="140" spans="2:6" ht="30" customHeight="1" x14ac:dyDescent="0.25">
      <c r="B140" s="25" t="s">
        <v>171</v>
      </c>
      <c r="C140" s="26" t="s">
        <v>267</v>
      </c>
      <c r="D140" s="27" t="s">
        <v>75</v>
      </c>
      <c r="E140" s="28" t="s">
        <v>79</v>
      </c>
      <c r="F140" s="28"/>
    </row>
    <row r="141" spans="2:6" ht="30" customHeight="1" x14ac:dyDescent="0.25">
      <c r="B141" s="17" t="s">
        <v>188</v>
      </c>
      <c r="C141" s="18" t="s">
        <v>268</v>
      </c>
      <c r="D141" s="27" t="s">
        <v>75</v>
      </c>
      <c r="E141" s="11" t="s">
        <v>79</v>
      </c>
      <c r="F141" s="11"/>
    </row>
    <row r="142" spans="2:6" ht="30" customHeight="1" x14ac:dyDescent="0.25">
      <c r="B142" s="25" t="s">
        <v>269</v>
      </c>
      <c r="C142" s="26" t="s">
        <v>270</v>
      </c>
      <c r="D142" s="27" t="s">
        <v>75</v>
      </c>
      <c r="E142" s="28" t="s">
        <v>56</v>
      </c>
      <c r="F142" s="28"/>
    </row>
    <row r="143" spans="2:6" ht="30" customHeight="1" x14ac:dyDescent="0.25">
      <c r="B143" s="17" t="s">
        <v>129</v>
      </c>
      <c r="C143" s="18" t="s">
        <v>271</v>
      </c>
      <c r="D143" s="27" t="s">
        <v>75</v>
      </c>
      <c r="E143" s="11" t="s">
        <v>56</v>
      </c>
      <c r="F143" s="11"/>
    </row>
    <row r="144" spans="2:6" ht="30" customHeight="1" x14ac:dyDescent="0.25">
      <c r="B144" s="25" t="s">
        <v>12</v>
      </c>
      <c r="C144" s="26" t="s">
        <v>272</v>
      </c>
      <c r="D144" s="27" t="s">
        <v>75</v>
      </c>
      <c r="E144" s="28" t="s">
        <v>56</v>
      </c>
      <c r="F144" s="28"/>
    </row>
    <row r="145" spans="2:6" ht="30" customHeight="1" x14ac:dyDescent="0.25">
      <c r="B145" s="17" t="s">
        <v>273</v>
      </c>
      <c r="C145" s="18" t="s">
        <v>274</v>
      </c>
      <c r="D145" s="27" t="s">
        <v>75</v>
      </c>
      <c r="E145" s="11" t="s">
        <v>56</v>
      </c>
      <c r="F145" s="11"/>
    </row>
    <row r="146" spans="2:6" ht="30" customHeight="1" x14ac:dyDescent="0.25">
      <c r="B146" s="25" t="s">
        <v>273</v>
      </c>
      <c r="C146" s="26" t="s">
        <v>275</v>
      </c>
      <c r="D146" s="27" t="s">
        <v>75</v>
      </c>
      <c r="E146" s="28" t="s">
        <v>56</v>
      </c>
      <c r="F146" s="28"/>
    </row>
    <row r="147" spans="2:6" ht="30" customHeight="1" x14ac:dyDescent="0.25">
      <c r="B147" s="17" t="s">
        <v>80</v>
      </c>
      <c r="C147" s="18" t="s">
        <v>276</v>
      </c>
      <c r="D147" s="27" t="s">
        <v>75</v>
      </c>
      <c r="E147" s="11" t="s">
        <v>62</v>
      </c>
      <c r="F147" s="11"/>
    </row>
    <row r="148" spans="2:6" ht="30" customHeight="1" x14ac:dyDescent="0.25">
      <c r="B148" s="25" t="s">
        <v>277</v>
      </c>
      <c r="C148" s="26" t="s">
        <v>278</v>
      </c>
      <c r="D148" s="27" t="s">
        <v>75</v>
      </c>
      <c r="E148" s="28" t="s">
        <v>62</v>
      </c>
      <c r="F148" s="28"/>
    </row>
    <row r="149" spans="2:6" ht="30" customHeight="1" x14ac:dyDescent="0.25">
      <c r="B149" s="17" t="s">
        <v>12</v>
      </c>
      <c r="C149" s="18" t="s">
        <v>272</v>
      </c>
      <c r="D149" s="27" t="s">
        <v>75</v>
      </c>
      <c r="E149" s="11" t="s">
        <v>62</v>
      </c>
      <c r="F149" s="11"/>
    </row>
    <row r="150" spans="2:6" ht="30" customHeight="1" x14ac:dyDescent="0.25">
      <c r="B150" s="25" t="s">
        <v>69</v>
      </c>
      <c r="C150" s="26" t="s">
        <v>265</v>
      </c>
      <c r="D150" s="27" t="s">
        <v>75</v>
      </c>
      <c r="E150" s="28" t="s">
        <v>79</v>
      </c>
      <c r="F150" s="28"/>
    </row>
    <row r="151" spans="2:6" ht="30" customHeight="1" x14ac:dyDescent="0.25">
      <c r="B151" s="17" t="s">
        <v>171</v>
      </c>
      <c r="C151" s="18" t="s">
        <v>266</v>
      </c>
      <c r="D151" s="27" t="s">
        <v>75</v>
      </c>
      <c r="E151" s="11" t="s">
        <v>79</v>
      </c>
      <c r="F151" s="11"/>
    </row>
    <row r="152" spans="2:6" ht="30" customHeight="1" x14ac:dyDescent="0.25">
      <c r="B152" s="25" t="s">
        <v>171</v>
      </c>
      <c r="C152" s="26" t="s">
        <v>267</v>
      </c>
      <c r="D152" s="27" t="s">
        <v>75</v>
      </c>
      <c r="E152" s="28" t="s">
        <v>79</v>
      </c>
      <c r="F152" s="28"/>
    </row>
    <row r="153" spans="2:6" ht="30" customHeight="1" x14ac:dyDescent="0.25">
      <c r="B153" s="17" t="s">
        <v>188</v>
      </c>
      <c r="C153" s="18" t="s">
        <v>268</v>
      </c>
      <c r="D153" s="27" t="s">
        <v>75</v>
      </c>
      <c r="E153" s="11" t="s">
        <v>79</v>
      </c>
      <c r="F153" s="11"/>
    </row>
    <row r="154" spans="2:6" ht="30" customHeight="1" x14ac:dyDescent="0.25">
      <c r="B154" s="25" t="s">
        <v>279</v>
      </c>
      <c r="C154" s="26" t="s">
        <v>280</v>
      </c>
      <c r="D154" s="27" t="s">
        <v>75</v>
      </c>
      <c r="E154" s="28" t="s">
        <v>144</v>
      </c>
      <c r="F154" s="28"/>
    </row>
    <row r="155" spans="2:6" ht="30" customHeight="1" x14ac:dyDescent="0.25">
      <c r="B155" s="17" t="s">
        <v>279</v>
      </c>
      <c r="C155" s="18" t="s">
        <v>281</v>
      </c>
      <c r="D155" s="27" t="s">
        <v>75</v>
      </c>
      <c r="E155" s="11" t="s">
        <v>144</v>
      </c>
      <c r="F155" s="11"/>
    </row>
    <row r="156" spans="2:6" ht="30" customHeight="1" x14ac:dyDescent="0.25">
      <c r="B156" s="25" t="s">
        <v>282</v>
      </c>
      <c r="C156" s="26" t="s">
        <v>283</v>
      </c>
      <c r="D156" s="27" t="s">
        <v>75</v>
      </c>
      <c r="E156" s="28" t="s">
        <v>144</v>
      </c>
      <c r="F156" s="28"/>
    </row>
    <row r="157" spans="2:6" ht="30" customHeight="1" x14ac:dyDescent="0.25">
      <c r="B157" s="17" t="s">
        <v>284</v>
      </c>
      <c r="C157" s="18" t="s">
        <v>285</v>
      </c>
      <c r="D157" s="27" t="s">
        <v>75</v>
      </c>
      <c r="E157" s="11" t="s">
        <v>144</v>
      </c>
      <c r="F157" s="11"/>
    </row>
    <row r="158" spans="2:6" ht="30" customHeight="1" x14ac:dyDescent="0.25">
      <c r="B158" s="25" t="s">
        <v>286</v>
      </c>
      <c r="C158" s="26" t="s">
        <v>39</v>
      </c>
      <c r="D158" s="27" t="s">
        <v>75</v>
      </c>
      <c r="E158" s="28" t="s">
        <v>144</v>
      </c>
      <c r="F158" s="28"/>
    </row>
    <row r="159" spans="2:6" ht="30" customHeight="1" x14ac:dyDescent="0.25">
      <c r="B159" s="17" t="s">
        <v>68</v>
      </c>
      <c r="C159" s="18" t="s">
        <v>287</v>
      </c>
      <c r="D159" s="27" t="s">
        <v>75</v>
      </c>
      <c r="E159" s="11" t="s">
        <v>144</v>
      </c>
      <c r="F159" s="11"/>
    </row>
    <row r="160" spans="2:6" ht="30" customHeight="1" x14ac:dyDescent="0.25">
      <c r="B160" s="25" t="s">
        <v>68</v>
      </c>
      <c r="C160" s="26" t="s">
        <v>288</v>
      </c>
      <c r="D160" s="27" t="s">
        <v>75</v>
      </c>
      <c r="E160" s="28" t="s">
        <v>144</v>
      </c>
      <c r="F160" s="28"/>
    </row>
    <row r="161" spans="2:6" ht="30" customHeight="1" x14ac:dyDescent="0.25">
      <c r="B161" s="17" t="s">
        <v>69</v>
      </c>
      <c r="C161" s="18" t="s">
        <v>289</v>
      </c>
      <c r="D161" s="27" t="s">
        <v>75</v>
      </c>
      <c r="E161" s="11" t="s">
        <v>79</v>
      </c>
      <c r="F161" s="11"/>
    </row>
    <row r="162" spans="2:6" ht="30" customHeight="1" x14ac:dyDescent="0.25">
      <c r="B162" s="25" t="s">
        <v>67</v>
      </c>
      <c r="C162" s="26" t="s">
        <v>290</v>
      </c>
      <c r="D162" s="27" t="s">
        <v>75</v>
      </c>
      <c r="E162" s="28" t="s">
        <v>79</v>
      </c>
      <c r="F162" s="28"/>
    </row>
    <row r="163" spans="2:6" ht="30" customHeight="1" x14ac:dyDescent="0.25">
      <c r="B163" s="17" t="s">
        <v>171</v>
      </c>
      <c r="C163" s="18" t="s">
        <v>291</v>
      </c>
      <c r="D163" s="27" t="s">
        <v>75</v>
      </c>
      <c r="E163" s="11" t="s">
        <v>79</v>
      </c>
      <c r="F163" s="11"/>
    </row>
    <row r="164" spans="2:6" ht="30" customHeight="1" x14ac:dyDescent="0.25">
      <c r="B164" s="25" t="s">
        <v>292</v>
      </c>
      <c r="C164" s="26" t="s">
        <v>293</v>
      </c>
      <c r="D164" s="27" t="s">
        <v>75</v>
      </c>
      <c r="E164" s="28" t="s">
        <v>79</v>
      </c>
      <c r="F164" s="28"/>
    </row>
    <row r="165" spans="2:6" ht="30" customHeight="1" x14ac:dyDescent="0.25">
      <c r="B165" s="17" t="s">
        <v>66</v>
      </c>
      <c r="C165" s="18" t="s">
        <v>294</v>
      </c>
      <c r="D165" s="27" t="s">
        <v>75</v>
      </c>
      <c r="E165" s="11" t="s">
        <v>79</v>
      </c>
      <c r="F165" s="11"/>
    </row>
    <row r="166" spans="2:6" ht="30" customHeight="1" x14ac:dyDescent="0.25">
      <c r="B166" s="25" t="s">
        <v>173</v>
      </c>
      <c r="C166" s="26" t="s">
        <v>295</v>
      </c>
      <c r="D166" s="27" t="s">
        <v>75</v>
      </c>
      <c r="E166" s="28" t="s">
        <v>76</v>
      </c>
      <c r="F166" s="28"/>
    </row>
    <row r="167" spans="2:6" ht="30" customHeight="1" x14ac:dyDescent="0.25">
      <c r="B167" s="17" t="s">
        <v>171</v>
      </c>
      <c r="C167" s="18" t="s">
        <v>296</v>
      </c>
      <c r="D167" s="27" t="s">
        <v>75</v>
      </c>
      <c r="E167" s="11" t="s">
        <v>79</v>
      </c>
      <c r="F167" s="11"/>
    </row>
    <row r="168" spans="2:6" ht="30" customHeight="1" x14ac:dyDescent="0.25">
      <c r="B168" s="25" t="s">
        <v>14</v>
      </c>
      <c r="C168" s="26" t="s">
        <v>297</v>
      </c>
      <c r="D168" s="27" t="s">
        <v>75</v>
      </c>
      <c r="E168" s="28" t="s">
        <v>79</v>
      </c>
      <c r="F168" s="28"/>
    </row>
    <row r="169" spans="2:6" ht="30" customHeight="1" x14ac:dyDescent="0.25">
      <c r="B169" s="17" t="s">
        <v>14</v>
      </c>
      <c r="C169" s="18" t="s">
        <v>298</v>
      </c>
      <c r="D169" s="27" t="s">
        <v>75</v>
      </c>
      <c r="E169" s="11" t="s">
        <v>79</v>
      </c>
      <c r="F169" s="11"/>
    </row>
    <row r="170" spans="2:6" ht="30" customHeight="1" x14ac:dyDescent="0.25">
      <c r="B170" s="25" t="s">
        <v>171</v>
      </c>
      <c r="C170" s="26" t="s">
        <v>299</v>
      </c>
      <c r="D170" s="27" t="s">
        <v>75</v>
      </c>
      <c r="E170" s="28" t="s">
        <v>79</v>
      </c>
      <c r="F170" s="28"/>
    </row>
    <row r="171" spans="2:6" ht="30" customHeight="1" x14ac:dyDescent="0.25">
      <c r="B171" s="17" t="s">
        <v>73</v>
      </c>
      <c r="C171" s="18" t="s">
        <v>300</v>
      </c>
      <c r="D171" s="27" t="s">
        <v>75</v>
      </c>
      <c r="E171" s="11" t="s">
        <v>79</v>
      </c>
      <c r="F171" s="11"/>
    </row>
    <row r="172" spans="2:6" ht="30" customHeight="1" x14ac:dyDescent="0.25">
      <c r="B172" s="25" t="s">
        <v>301</v>
      </c>
      <c r="C172" s="26" t="s">
        <v>192</v>
      </c>
      <c r="D172" s="27" t="s">
        <v>75</v>
      </c>
      <c r="E172" s="28" t="s">
        <v>79</v>
      </c>
      <c r="F172" s="28"/>
    </row>
    <row r="173" spans="2:6" ht="30" customHeight="1" x14ac:dyDescent="0.25">
      <c r="B173" s="17" t="s">
        <v>66</v>
      </c>
      <c r="C173" s="18" t="s">
        <v>302</v>
      </c>
      <c r="D173" s="27" t="s">
        <v>75</v>
      </c>
      <c r="E173" s="11" t="s">
        <v>79</v>
      </c>
      <c r="F173" s="11"/>
    </row>
    <row r="174" spans="2:6" ht="30" customHeight="1" x14ac:dyDescent="0.25">
      <c r="B174" s="25" t="s">
        <v>154</v>
      </c>
      <c r="C174" s="26" t="s">
        <v>303</v>
      </c>
      <c r="D174" s="27" t="s">
        <v>75</v>
      </c>
      <c r="E174" s="28" t="s">
        <v>79</v>
      </c>
      <c r="F174" s="28"/>
    </row>
    <row r="175" spans="2:6" ht="30" customHeight="1" x14ac:dyDescent="0.25">
      <c r="B175" s="17" t="s">
        <v>161</v>
      </c>
      <c r="C175" s="18" t="s">
        <v>304</v>
      </c>
      <c r="D175" s="27" t="s">
        <v>75</v>
      </c>
      <c r="E175" s="11" t="s">
        <v>122</v>
      </c>
      <c r="F175" s="11"/>
    </row>
    <row r="176" spans="2:6" ht="30" customHeight="1" x14ac:dyDescent="0.25">
      <c r="B176" s="25" t="s">
        <v>147</v>
      </c>
      <c r="C176" s="26" t="s">
        <v>305</v>
      </c>
      <c r="D176" s="27" t="s">
        <v>75</v>
      </c>
      <c r="E176" s="28" t="s">
        <v>65</v>
      </c>
      <c r="F176" s="28"/>
    </row>
    <row r="177" spans="2:6" ht="30" customHeight="1" x14ac:dyDescent="0.25">
      <c r="B177" s="17" t="s">
        <v>67</v>
      </c>
      <c r="C177" s="18" t="s">
        <v>306</v>
      </c>
      <c r="D177" s="27" t="s">
        <v>75</v>
      </c>
      <c r="E177" s="11" t="s">
        <v>79</v>
      </c>
      <c r="F177" s="11"/>
    </row>
    <row r="178" spans="2:6" ht="30" customHeight="1" x14ac:dyDescent="0.25">
      <c r="B178" s="25" t="s">
        <v>9</v>
      </c>
      <c r="C178" s="26" t="s">
        <v>251</v>
      </c>
      <c r="D178" s="27" t="s">
        <v>75</v>
      </c>
      <c r="E178" s="28" t="s">
        <v>65</v>
      </c>
      <c r="F178" s="28"/>
    </row>
    <row r="179" spans="2:6" ht="30" customHeight="1" x14ac:dyDescent="0.25">
      <c r="B179" s="17" t="s">
        <v>9</v>
      </c>
      <c r="C179" s="18" t="s">
        <v>252</v>
      </c>
      <c r="D179" s="27" t="s">
        <v>75</v>
      </c>
      <c r="E179" s="11" t="s">
        <v>65</v>
      </c>
      <c r="F179" s="11"/>
    </row>
    <row r="180" spans="2:6" ht="30" customHeight="1" x14ac:dyDescent="0.25">
      <c r="B180" s="25" t="s">
        <v>9</v>
      </c>
      <c r="C180" s="26" t="s">
        <v>253</v>
      </c>
      <c r="D180" s="27" t="s">
        <v>75</v>
      </c>
      <c r="E180" s="28" t="s">
        <v>65</v>
      </c>
      <c r="F180" s="28"/>
    </row>
    <row r="181" spans="2:6" ht="30" customHeight="1" x14ac:dyDescent="0.25">
      <c r="B181" s="17" t="s">
        <v>9</v>
      </c>
      <c r="C181" s="18" t="s">
        <v>254</v>
      </c>
      <c r="D181" s="27" t="s">
        <v>75</v>
      </c>
      <c r="E181" s="11" t="s">
        <v>65</v>
      </c>
      <c r="F181" s="11"/>
    </row>
    <row r="182" spans="2:6" ht="30" customHeight="1" x14ac:dyDescent="0.25">
      <c r="B182" s="25" t="s">
        <v>63</v>
      </c>
      <c r="C182" s="26" t="s">
        <v>307</v>
      </c>
      <c r="D182" s="27" t="s">
        <v>75</v>
      </c>
      <c r="E182" s="28" t="s">
        <v>65</v>
      </c>
      <c r="F182" s="28"/>
    </row>
    <row r="183" spans="2:6" ht="30" customHeight="1" x14ac:dyDescent="0.25">
      <c r="B183" s="17" t="s">
        <v>63</v>
      </c>
      <c r="C183" s="18" t="s">
        <v>308</v>
      </c>
      <c r="D183" s="27" t="s">
        <v>75</v>
      </c>
      <c r="E183" s="11" t="s">
        <v>65</v>
      </c>
      <c r="F183" s="11"/>
    </row>
    <row r="184" spans="2:6" ht="30" customHeight="1" x14ac:dyDescent="0.25">
      <c r="B184" s="25" t="s">
        <v>13</v>
      </c>
      <c r="C184" s="26" t="s">
        <v>251</v>
      </c>
      <c r="D184" s="27" t="s">
        <v>75</v>
      </c>
      <c r="E184" s="28" t="s">
        <v>65</v>
      </c>
      <c r="F184" s="28"/>
    </row>
    <row r="185" spans="2:6" ht="30" customHeight="1" x14ac:dyDescent="0.25">
      <c r="B185" s="17" t="s">
        <v>13</v>
      </c>
      <c r="C185" s="18" t="s">
        <v>309</v>
      </c>
      <c r="D185" s="27" t="s">
        <v>75</v>
      </c>
      <c r="E185" s="11" t="s">
        <v>65</v>
      </c>
      <c r="F185" s="11"/>
    </row>
    <row r="186" spans="2:6" ht="30" customHeight="1" x14ac:dyDescent="0.25">
      <c r="B186" s="25" t="s">
        <v>147</v>
      </c>
      <c r="C186" s="26" t="s">
        <v>310</v>
      </c>
      <c r="D186" s="27" t="s">
        <v>75</v>
      </c>
      <c r="E186" s="28" t="s">
        <v>65</v>
      </c>
      <c r="F186" s="28"/>
    </row>
    <row r="187" spans="2:6" ht="30" customHeight="1" x14ac:dyDescent="0.25">
      <c r="B187" s="17" t="s">
        <v>16</v>
      </c>
      <c r="C187" s="18" t="s">
        <v>311</v>
      </c>
      <c r="D187" s="27" t="s">
        <v>75</v>
      </c>
      <c r="E187" s="11" t="s">
        <v>79</v>
      </c>
      <c r="F187" s="11"/>
    </row>
    <row r="188" spans="2:6" ht="30" customHeight="1" x14ac:dyDescent="0.25">
      <c r="B188" s="25" t="s">
        <v>67</v>
      </c>
      <c r="C188" s="26" t="s">
        <v>312</v>
      </c>
      <c r="D188" s="27" t="s">
        <v>75</v>
      </c>
      <c r="E188" s="28" t="s">
        <v>79</v>
      </c>
      <c r="F188" s="28"/>
    </row>
    <row r="189" spans="2:6" ht="30" customHeight="1" x14ac:dyDescent="0.25">
      <c r="B189" s="17" t="s">
        <v>173</v>
      </c>
      <c r="C189" s="18" t="s">
        <v>313</v>
      </c>
      <c r="D189" s="27" t="s">
        <v>75</v>
      </c>
      <c r="E189" s="11" t="s">
        <v>76</v>
      </c>
      <c r="F189" s="11"/>
    </row>
    <row r="190" spans="2:6" ht="30" customHeight="1" x14ac:dyDescent="0.25">
      <c r="B190" s="25" t="s">
        <v>196</v>
      </c>
      <c r="C190" s="26" t="s">
        <v>314</v>
      </c>
      <c r="D190" s="27" t="s">
        <v>75</v>
      </c>
      <c r="E190" s="28" t="s">
        <v>76</v>
      </c>
      <c r="F190" s="28"/>
    </row>
    <row r="191" spans="2:6" ht="30" customHeight="1" x14ac:dyDescent="0.25">
      <c r="B191" s="17" t="s">
        <v>8</v>
      </c>
      <c r="C191" s="18" t="s">
        <v>314</v>
      </c>
      <c r="D191" s="27" t="s">
        <v>75</v>
      </c>
      <c r="E191" s="11" t="s">
        <v>79</v>
      </c>
      <c r="F191" s="11"/>
    </row>
    <row r="192" spans="2:6" ht="30" customHeight="1" x14ac:dyDescent="0.25">
      <c r="B192" s="25" t="s">
        <v>80</v>
      </c>
      <c r="C192" s="26" t="s">
        <v>315</v>
      </c>
      <c r="D192" s="27" t="s">
        <v>75</v>
      </c>
      <c r="E192" s="28" t="s">
        <v>62</v>
      </c>
      <c r="F192" s="28"/>
    </row>
    <row r="193" spans="2:6" ht="30" customHeight="1" x14ac:dyDescent="0.25">
      <c r="B193" s="17" t="s">
        <v>80</v>
      </c>
      <c r="C193" s="18" t="s">
        <v>316</v>
      </c>
      <c r="D193" s="27" t="s">
        <v>75</v>
      </c>
      <c r="E193" s="11" t="s">
        <v>62</v>
      </c>
      <c r="F193" s="11"/>
    </row>
    <row r="194" spans="2:6" ht="30" customHeight="1" x14ac:dyDescent="0.25">
      <c r="B194" s="25" t="s">
        <v>80</v>
      </c>
      <c r="C194" s="26" t="s">
        <v>317</v>
      </c>
      <c r="D194" s="27" t="s">
        <v>75</v>
      </c>
      <c r="E194" s="28" t="s">
        <v>62</v>
      </c>
      <c r="F194" s="28"/>
    </row>
    <row r="195" spans="2:6" ht="30" customHeight="1" x14ac:dyDescent="0.25">
      <c r="B195" s="17" t="s">
        <v>318</v>
      </c>
      <c r="C195" s="18" t="s">
        <v>265</v>
      </c>
      <c r="D195" s="27" t="s">
        <v>75</v>
      </c>
      <c r="E195" s="11" t="s">
        <v>62</v>
      </c>
      <c r="F195" s="11"/>
    </row>
    <row r="196" spans="2:6" ht="30" customHeight="1" x14ac:dyDescent="0.25">
      <c r="B196" s="25" t="s">
        <v>14</v>
      </c>
      <c r="C196" s="26" t="s">
        <v>319</v>
      </c>
      <c r="D196" s="27" t="s">
        <v>75</v>
      </c>
      <c r="E196" s="28" t="s">
        <v>79</v>
      </c>
      <c r="F196" s="28"/>
    </row>
    <row r="197" spans="2:6" ht="30" customHeight="1" x14ac:dyDescent="0.25">
      <c r="B197" s="17" t="s">
        <v>66</v>
      </c>
      <c r="C197" s="18" t="s">
        <v>320</v>
      </c>
      <c r="D197" s="27" t="s">
        <v>75</v>
      </c>
      <c r="E197" s="11" t="s">
        <v>79</v>
      </c>
      <c r="F197" s="11" t="s">
        <v>321</v>
      </c>
    </row>
    <row r="198" spans="2:6" ht="30" customHeight="1" x14ac:dyDescent="0.25">
      <c r="B198" s="25" t="s">
        <v>66</v>
      </c>
      <c r="C198" s="26" t="s">
        <v>322</v>
      </c>
      <c r="D198" s="27" t="s">
        <v>75</v>
      </c>
      <c r="E198" s="28" t="s">
        <v>79</v>
      </c>
      <c r="F198" s="28" t="s">
        <v>323</v>
      </c>
    </row>
    <row r="199" spans="2:6" ht="30" customHeight="1" x14ac:dyDescent="0.25">
      <c r="B199" s="17" t="s">
        <v>66</v>
      </c>
      <c r="C199" s="18" t="s">
        <v>324</v>
      </c>
      <c r="D199" s="27" t="s">
        <v>75</v>
      </c>
      <c r="E199" s="11" t="s">
        <v>79</v>
      </c>
      <c r="F199" s="11" t="s">
        <v>321</v>
      </c>
    </row>
    <row r="200" spans="2:6" ht="30" customHeight="1" x14ac:dyDescent="0.25">
      <c r="B200" s="25" t="s">
        <v>269</v>
      </c>
      <c r="C200" s="26" t="s">
        <v>325</v>
      </c>
      <c r="D200" s="27" t="s">
        <v>75</v>
      </c>
      <c r="E200" s="28" t="s">
        <v>76</v>
      </c>
      <c r="F200" s="28"/>
    </row>
    <row r="201" spans="2:6" ht="30" customHeight="1" x14ac:dyDescent="0.25">
      <c r="B201" s="17" t="s">
        <v>279</v>
      </c>
      <c r="C201" s="18" t="s">
        <v>326</v>
      </c>
      <c r="D201" s="27" t="s">
        <v>75</v>
      </c>
      <c r="E201" s="11" t="s">
        <v>144</v>
      </c>
      <c r="F201" s="11"/>
    </row>
    <row r="202" spans="2:6" ht="30" customHeight="1" x14ac:dyDescent="0.25">
      <c r="B202" s="25" t="s">
        <v>279</v>
      </c>
      <c r="C202" s="26" t="s">
        <v>327</v>
      </c>
      <c r="D202" s="27" t="s">
        <v>75</v>
      </c>
      <c r="E202" s="28" t="s">
        <v>144</v>
      </c>
      <c r="F202" s="28"/>
    </row>
    <row r="203" spans="2:6" ht="30" customHeight="1" x14ac:dyDescent="0.25">
      <c r="B203" s="17" t="s">
        <v>279</v>
      </c>
      <c r="C203" s="18" t="s">
        <v>328</v>
      </c>
      <c r="D203" s="27" t="s">
        <v>75</v>
      </c>
      <c r="E203" s="11" t="s">
        <v>144</v>
      </c>
      <c r="F203" s="11"/>
    </row>
    <row r="204" spans="2:6" ht="30" customHeight="1" x14ac:dyDescent="0.25">
      <c r="B204" s="25" t="s">
        <v>284</v>
      </c>
      <c r="C204" s="26" t="s">
        <v>285</v>
      </c>
      <c r="D204" s="27" t="s">
        <v>75</v>
      </c>
      <c r="E204" s="28" t="s">
        <v>144</v>
      </c>
      <c r="F204" s="28"/>
    </row>
    <row r="205" spans="2:6" ht="30" customHeight="1" x14ac:dyDescent="0.25">
      <c r="B205" s="17" t="s">
        <v>10</v>
      </c>
      <c r="C205" s="18" t="s">
        <v>329</v>
      </c>
      <c r="D205" s="27" t="s">
        <v>75</v>
      </c>
      <c r="E205" s="11" t="s">
        <v>144</v>
      </c>
      <c r="F205" s="11"/>
    </row>
    <row r="206" spans="2:6" ht="30" customHeight="1" x14ac:dyDescent="0.25">
      <c r="B206" s="25" t="s">
        <v>68</v>
      </c>
      <c r="C206" s="26" t="s">
        <v>287</v>
      </c>
      <c r="D206" s="27" t="s">
        <v>75</v>
      </c>
      <c r="E206" s="28" t="s">
        <v>144</v>
      </c>
      <c r="F206" s="28"/>
    </row>
    <row r="207" spans="2:6" ht="30" customHeight="1" x14ac:dyDescent="0.25">
      <c r="B207" s="17" t="s">
        <v>68</v>
      </c>
      <c r="C207" s="18" t="s">
        <v>288</v>
      </c>
      <c r="D207" s="27" t="s">
        <v>75</v>
      </c>
      <c r="E207" s="11" t="s">
        <v>144</v>
      </c>
      <c r="F207" s="11"/>
    </row>
    <row r="208" spans="2:6" ht="30" customHeight="1" x14ac:dyDescent="0.25">
      <c r="B208" s="25" t="s">
        <v>68</v>
      </c>
      <c r="C208" s="26" t="s">
        <v>330</v>
      </c>
      <c r="D208" s="27" t="s">
        <v>75</v>
      </c>
      <c r="E208" s="28" t="s">
        <v>144</v>
      </c>
      <c r="F208" s="28"/>
    </row>
    <row r="209" spans="2:6" ht="30" customHeight="1" x14ac:dyDescent="0.25">
      <c r="B209" s="17" t="s">
        <v>68</v>
      </c>
      <c r="C209" s="18" t="s">
        <v>331</v>
      </c>
      <c r="D209" s="27" t="s">
        <v>75</v>
      </c>
      <c r="E209" s="11" t="s">
        <v>144</v>
      </c>
      <c r="F209" s="11"/>
    </row>
    <row r="210" spans="2:6" ht="30" customHeight="1" x14ac:dyDescent="0.25">
      <c r="B210" s="25" t="s">
        <v>129</v>
      </c>
      <c r="C210" s="26" t="s">
        <v>244</v>
      </c>
      <c r="D210" s="27" t="s">
        <v>75</v>
      </c>
      <c r="E210" s="28" t="s">
        <v>56</v>
      </c>
      <c r="F210" s="28"/>
    </row>
    <row r="211" spans="2:6" ht="30" customHeight="1" x14ac:dyDescent="0.25">
      <c r="B211" s="17" t="s">
        <v>129</v>
      </c>
      <c r="C211" s="18" t="s">
        <v>245</v>
      </c>
      <c r="D211" s="27" t="s">
        <v>75</v>
      </c>
      <c r="E211" s="11" t="s">
        <v>56</v>
      </c>
      <c r="F211" s="11"/>
    </row>
    <row r="212" spans="2:6" ht="30" customHeight="1" x14ac:dyDescent="0.25">
      <c r="B212" s="25" t="s">
        <v>129</v>
      </c>
      <c r="C212" s="26" t="s">
        <v>246</v>
      </c>
      <c r="D212" s="27" t="s">
        <v>75</v>
      </c>
      <c r="E212" s="28" t="s">
        <v>56</v>
      </c>
      <c r="F212" s="28"/>
    </row>
    <row r="213" spans="2:6" ht="30" customHeight="1" x14ac:dyDescent="0.25">
      <c r="B213" s="17" t="s">
        <v>129</v>
      </c>
      <c r="C213" s="18" t="s">
        <v>248</v>
      </c>
      <c r="D213" s="27" t="s">
        <v>75</v>
      </c>
      <c r="E213" s="11" t="s">
        <v>56</v>
      </c>
      <c r="F213" s="11"/>
    </row>
    <row r="214" spans="2:6" ht="30" customHeight="1" x14ac:dyDescent="0.25">
      <c r="B214" s="25" t="s">
        <v>129</v>
      </c>
      <c r="C214" s="26" t="s">
        <v>249</v>
      </c>
      <c r="D214" s="27" t="s">
        <v>75</v>
      </c>
      <c r="E214" s="28" t="s">
        <v>56</v>
      </c>
      <c r="F214" s="28"/>
    </row>
    <row r="215" spans="2:6" ht="30" customHeight="1" x14ac:dyDescent="0.25">
      <c r="B215" s="17" t="s">
        <v>129</v>
      </c>
      <c r="C215" s="18" t="s">
        <v>250</v>
      </c>
      <c r="D215" s="27" t="s">
        <v>75</v>
      </c>
      <c r="E215" s="11" t="s">
        <v>56</v>
      </c>
      <c r="F215" s="11"/>
    </row>
    <row r="216" spans="2:6" ht="30" customHeight="1" x14ac:dyDescent="0.25">
      <c r="B216" s="25" t="s">
        <v>332</v>
      </c>
      <c r="C216" s="26" t="s">
        <v>333</v>
      </c>
      <c r="D216" s="27" t="s">
        <v>75</v>
      </c>
      <c r="E216" s="28" t="s">
        <v>56</v>
      </c>
      <c r="F216" s="28"/>
    </row>
    <row r="217" spans="2:6" ht="30" customHeight="1" x14ac:dyDescent="0.25">
      <c r="B217" s="17" t="s">
        <v>334</v>
      </c>
      <c r="C217" s="18" t="s">
        <v>314</v>
      </c>
      <c r="D217" s="27" t="s">
        <v>75</v>
      </c>
      <c r="E217" s="11" t="s">
        <v>122</v>
      </c>
      <c r="F217" s="11"/>
    </row>
    <row r="218" spans="2:6" ht="30" customHeight="1" x14ac:dyDescent="0.25">
      <c r="B218" s="25" t="s">
        <v>161</v>
      </c>
      <c r="C218" s="26" t="s">
        <v>335</v>
      </c>
      <c r="D218" s="27" t="s">
        <v>75</v>
      </c>
      <c r="E218" s="28" t="s">
        <v>122</v>
      </c>
      <c r="F218" s="28"/>
    </row>
    <row r="219" spans="2:6" ht="30" customHeight="1" x14ac:dyDescent="0.25">
      <c r="B219" s="17" t="s">
        <v>161</v>
      </c>
      <c r="C219" s="18" t="s">
        <v>336</v>
      </c>
      <c r="D219" s="27" t="s">
        <v>75</v>
      </c>
      <c r="E219" s="11" t="s">
        <v>122</v>
      </c>
      <c r="F219" s="11"/>
    </row>
    <row r="220" spans="2:6" ht="30" customHeight="1" x14ac:dyDescent="0.25">
      <c r="B220" s="25" t="s">
        <v>161</v>
      </c>
      <c r="C220" s="26" t="s">
        <v>337</v>
      </c>
      <c r="D220" s="27" t="s">
        <v>75</v>
      </c>
      <c r="E220" s="28" t="s">
        <v>122</v>
      </c>
      <c r="F220" s="28"/>
    </row>
    <row r="221" spans="2:6" ht="30" customHeight="1" x14ac:dyDescent="0.25">
      <c r="B221" s="17" t="s">
        <v>269</v>
      </c>
      <c r="C221" s="18" t="s">
        <v>338</v>
      </c>
      <c r="D221" s="27" t="s">
        <v>75</v>
      </c>
      <c r="E221" s="11" t="s">
        <v>76</v>
      </c>
      <c r="F221" s="11"/>
    </row>
    <row r="222" spans="2:6" ht="30" customHeight="1" x14ac:dyDescent="0.25">
      <c r="B222" s="25" t="s">
        <v>269</v>
      </c>
      <c r="C222" s="26" t="s">
        <v>339</v>
      </c>
      <c r="D222" s="27" t="s">
        <v>75</v>
      </c>
      <c r="E222" s="28" t="s">
        <v>76</v>
      </c>
      <c r="F222" s="28"/>
    </row>
    <row r="223" spans="2:6" ht="30" customHeight="1" x14ac:dyDescent="0.25">
      <c r="B223" s="17" t="s">
        <v>67</v>
      </c>
      <c r="C223" s="18" t="s">
        <v>340</v>
      </c>
      <c r="D223" s="27" t="s">
        <v>75</v>
      </c>
      <c r="E223" s="11" t="s">
        <v>79</v>
      </c>
      <c r="F223" s="11"/>
    </row>
    <row r="224" spans="2:6" ht="30" customHeight="1" x14ac:dyDescent="0.25">
      <c r="B224" s="25" t="s">
        <v>67</v>
      </c>
      <c r="C224" s="26" t="s">
        <v>341</v>
      </c>
      <c r="D224" s="27" t="s">
        <v>75</v>
      </c>
      <c r="E224" s="28" t="s">
        <v>79</v>
      </c>
      <c r="F224" s="28"/>
    </row>
    <row r="225" spans="2:6" ht="30" customHeight="1" x14ac:dyDescent="0.25">
      <c r="B225" s="17" t="s">
        <v>342</v>
      </c>
      <c r="C225" s="18" t="s">
        <v>343</v>
      </c>
      <c r="D225" s="27" t="s">
        <v>75</v>
      </c>
      <c r="E225" s="11" t="s">
        <v>62</v>
      </c>
      <c r="F225" s="11"/>
    </row>
    <row r="226" spans="2:6" ht="30" customHeight="1" x14ac:dyDescent="0.25">
      <c r="B226" s="25" t="s">
        <v>342</v>
      </c>
      <c r="C226" s="26" t="s">
        <v>344</v>
      </c>
      <c r="D226" s="27" t="s">
        <v>75</v>
      </c>
      <c r="E226" s="28"/>
      <c r="F226" s="28"/>
    </row>
    <row r="227" spans="2:6" ht="30" customHeight="1" x14ac:dyDescent="0.25">
      <c r="B227" s="17" t="s">
        <v>342</v>
      </c>
      <c r="C227" s="18" t="s">
        <v>345</v>
      </c>
      <c r="D227" s="27" t="s">
        <v>75</v>
      </c>
      <c r="E227" s="11"/>
      <c r="F227" s="11"/>
    </row>
    <row r="228" spans="2:6" ht="30" customHeight="1" x14ac:dyDescent="0.25">
      <c r="B228" s="25" t="s">
        <v>346</v>
      </c>
      <c r="C228" s="26" t="s">
        <v>347</v>
      </c>
      <c r="D228" s="27" t="s">
        <v>75</v>
      </c>
      <c r="E228" s="28" t="s">
        <v>62</v>
      </c>
      <c r="F228" s="28"/>
    </row>
    <row r="229" spans="2:6" ht="30" customHeight="1" x14ac:dyDescent="0.25">
      <c r="B229" s="17" t="s">
        <v>332</v>
      </c>
      <c r="C229" s="18" t="s">
        <v>348</v>
      </c>
      <c r="D229" s="27" t="s">
        <v>75</v>
      </c>
      <c r="E229" s="11" t="s">
        <v>56</v>
      </c>
      <c r="F229" s="11"/>
    </row>
    <row r="230" spans="2:6" ht="30" customHeight="1" x14ac:dyDescent="0.25">
      <c r="B230" s="25" t="s">
        <v>157</v>
      </c>
      <c r="C230" s="26" t="s">
        <v>349</v>
      </c>
      <c r="D230" s="27" t="s">
        <v>75</v>
      </c>
      <c r="E230" s="28" t="s">
        <v>38</v>
      </c>
      <c r="F230" s="28"/>
    </row>
    <row r="231" spans="2:6" ht="30" customHeight="1" x14ac:dyDescent="0.25">
      <c r="B231" s="17" t="s">
        <v>73</v>
      </c>
      <c r="C231" s="18" t="s">
        <v>350</v>
      </c>
      <c r="D231" s="27" t="s">
        <v>75</v>
      </c>
      <c r="E231" s="11"/>
      <c r="F231" s="11"/>
    </row>
    <row r="232" spans="2:6" ht="30" customHeight="1" x14ac:dyDescent="0.25">
      <c r="B232" s="25" t="s">
        <v>73</v>
      </c>
      <c r="C232" s="26" t="s">
        <v>351</v>
      </c>
      <c r="D232" s="27" t="s">
        <v>75</v>
      </c>
      <c r="E232" s="28" t="s">
        <v>352</v>
      </c>
      <c r="F232" s="28"/>
    </row>
    <row r="233" spans="2:6" ht="30" customHeight="1" x14ac:dyDescent="0.25">
      <c r="B233" s="17" t="s">
        <v>80</v>
      </c>
      <c r="C233" s="18" t="s">
        <v>348</v>
      </c>
      <c r="D233" s="27" t="s">
        <v>75</v>
      </c>
      <c r="E233" s="11" t="s">
        <v>62</v>
      </c>
      <c r="F233" s="11" t="s">
        <v>75</v>
      </c>
    </row>
    <row r="234" spans="2:6" ht="30" customHeight="1" x14ac:dyDescent="0.25">
      <c r="B234" s="25" t="s">
        <v>353</v>
      </c>
      <c r="C234" s="26" t="s">
        <v>354</v>
      </c>
      <c r="D234" s="27" t="s">
        <v>75</v>
      </c>
      <c r="E234" s="28" t="s">
        <v>62</v>
      </c>
      <c r="F234" s="28" t="s">
        <v>75</v>
      </c>
    </row>
    <row r="235" spans="2:6" ht="30" customHeight="1" x14ac:dyDescent="0.25">
      <c r="B235" s="17" t="s">
        <v>353</v>
      </c>
      <c r="C235" s="18" t="s">
        <v>355</v>
      </c>
      <c r="D235" s="27" t="s">
        <v>75</v>
      </c>
      <c r="E235" s="11"/>
      <c r="F235" s="11"/>
    </row>
    <row r="236" spans="2:6" ht="30" customHeight="1" x14ac:dyDescent="0.25">
      <c r="B236" s="25" t="s">
        <v>12</v>
      </c>
      <c r="C236" s="26" t="s">
        <v>356</v>
      </c>
      <c r="D236" s="27" t="s">
        <v>75</v>
      </c>
      <c r="E236" s="28" t="s">
        <v>62</v>
      </c>
      <c r="F236" s="28" t="s">
        <v>75</v>
      </c>
    </row>
    <row r="237" spans="2:6" ht="30" customHeight="1" x14ac:dyDescent="0.25">
      <c r="B237" s="17" t="s">
        <v>67</v>
      </c>
      <c r="C237" s="18" t="s">
        <v>357</v>
      </c>
      <c r="D237" s="27" t="s">
        <v>75</v>
      </c>
      <c r="E237" s="11" t="s">
        <v>56</v>
      </c>
      <c r="F237" s="11" t="s">
        <v>75</v>
      </c>
    </row>
    <row r="238" spans="2:6" ht="30" customHeight="1" x14ac:dyDescent="0.25">
      <c r="B238" s="25" t="s">
        <v>173</v>
      </c>
      <c r="C238" s="26" t="s">
        <v>358</v>
      </c>
      <c r="D238" s="27" t="s">
        <v>75</v>
      </c>
      <c r="E238" s="28"/>
      <c r="F238" s="28"/>
    </row>
    <row r="239" spans="2:6" ht="30" customHeight="1" x14ac:dyDescent="0.25">
      <c r="B239" s="17" t="s">
        <v>359</v>
      </c>
      <c r="C239" s="18" t="s">
        <v>360</v>
      </c>
      <c r="D239" s="27" t="s">
        <v>75</v>
      </c>
      <c r="E239" s="11"/>
      <c r="F239" s="11"/>
    </row>
    <row r="240" spans="2:6" ht="30" customHeight="1" x14ac:dyDescent="0.25">
      <c r="B240" s="25" t="s">
        <v>361</v>
      </c>
      <c r="C240" s="26" t="s">
        <v>362</v>
      </c>
      <c r="D240" s="27" t="s">
        <v>75</v>
      </c>
      <c r="E240" s="28" t="s">
        <v>38</v>
      </c>
      <c r="F240" s="28" t="s">
        <v>75</v>
      </c>
    </row>
    <row r="241" spans="2:6" ht="30" customHeight="1" x14ac:dyDescent="0.25">
      <c r="B241" s="17" t="s">
        <v>279</v>
      </c>
      <c r="C241" s="18" t="s">
        <v>363</v>
      </c>
      <c r="D241" s="27" t="s">
        <v>75</v>
      </c>
      <c r="E241" s="11" t="s">
        <v>364</v>
      </c>
      <c r="F241" s="11" t="s">
        <v>75</v>
      </c>
    </row>
    <row r="242" spans="2:6" ht="30" customHeight="1" x14ac:dyDescent="0.25">
      <c r="B242" s="25" t="s">
        <v>68</v>
      </c>
      <c r="C242" s="26" t="s">
        <v>365</v>
      </c>
      <c r="D242" s="27" t="s">
        <v>75</v>
      </c>
      <c r="E242" s="28" t="s">
        <v>364</v>
      </c>
      <c r="F242" s="28" t="s">
        <v>75</v>
      </c>
    </row>
    <row r="243" spans="2:6" ht="30" customHeight="1" x14ac:dyDescent="0.25">
      <c r="B243" s="17" t="s">
        <v>20</v>
      </c>
      <c r="C243" s="18" t="s">
        <v>365</v>
      </c>
      <c r="D243" s="27" t="s">
        <v>75</v>
      </c>
      <c r="E243" s="11" t="s">
        <v>366</v>
      </c>
      <c r="F243" s="11" t="s">
        <v>75</v>
      </c>
    </row>
    <row r="244" spans="2:6" ht="30" customHeight="1" x14ac:dyDescent="0.25">
      <c r="B244" s="25" t="s">
        <v>20</v>
      </c>
      <c r="C244" s="26" t="s">
        <v>356</v>
      </c>
      <c r="D244" s="27" t="s">
        <v>75</v>
      </c>
      <c r="E244" s="28"/>
      <c r="F244" s="28" t="s">
        <v>75</v>
      </c>
    </row>
    <row r="245" spans="2:6" ht="30" customHeight="1" x14ac:dyDescent="0.25">
      <c r="B245" s="17" t="s">
        <v>367</v>
      </c>
      <c r="C245" s="18" t="s">
        <v>365</v>
      </c>
      <c r="D245" s="27" t="s">
        <v>75</v>
      </c>
      <c r="E245" s="11" t="s">
        <v>366</v>
      </c>
      <c r="F245" s="11" t="s">
        <v>75</v>
      </c>
    </row>
    <row r="246" spans="2:6" ht="30" customHeight="1" x14ac:dyDescent="0.25">
      <c r="B246" s="25" t="s">
        <v>14</v>
      </c>
      <c r="C246" s="26" t="s">
        <v>354</v>
      </c>
      <c r="D246" s="27" t="s">
        <v>75</v>
      </c>
      <c r="E246" s="28" t="s">
        <v>144</v>
      </c>
      <c r="F246" s="28" t="s">
        <v>75</v>
      </c>
    </row>
    <row r="247" spans="2:6" ht="30" customHeight="1" x14ac:dyDescent="0.25">
      <c r="B247" s="17" t="s">
        <v>59</v>
      </c>
      <c r="C247" s="18" t="s">
        <v>368</v>
      </c>
      <c r="D247" s="27" t="s">
        <v>75</v>
      </c>
      <c r="E247" s="11" t="s">
        <v>65</v>
      </c>
      <c r="F247" s="11" t="s">
        <v>75</v>
      </c>
    </row>
    <row r="248" spans="2:6" ht="30" customHeight="1" x14ac:dyDescent="0.25">
      <c r="B248" s="25" t="s">
        <v>59</v>
      </c>
      <c r="C248" s="26" t="s">
        <v>369</v>
      </c>
      <c r="D248" s="27" t="s">
        <v>75</v>
      </c>
      <c r="E248" s="28"/>
      <c r="F248" s="28"/>
    </row>
    <row r="249" spans="2:6" ht="30" customHeight="1" x14ac:dyDescent="0.25">
      <c r="B249" s="17" t="s">
        <v>13</v>
      </c>
      <c r="C249" s="18" t="s">
        <v>370</v>
      </c>
      <c r="D249" s="27" t="s">
        <v>75</v>
      </c>
      <c r="E249" s="11" t="s">
        <v>65</v>
      </c>
      <c r="F249" s="11" t="s">
        <v>75</v>
      </c>
    </row>
    <row r="250" spans="2:6" ht="30" customHeight="1" x14ac:dyDescent="0.25">
      <c r="B250" s="25" t="s">
        <v>9</v>
      </c>
      <c r="C250" s="26" t="s">
        <v>354</v>
      </c>
      <c r="D250" s="27" t="s">
        <v>75</v>
      </c>
      <c r="E250" s="28" t="s">
        <v>65</v>
      </c>
      <c r="F250" s="28" t="s">
        <v>75</v>
      </c>
    </row>
    <row r="251" spans="2:6" ht="30" customHeight="1" x14ac:dyDescent="0.25">
      <c r="B251" s="17" t="s">
        <v>371</v>
      </c>
      <c r="C251" s="18" t="s">
        <v>372</v>
      </c>
      <c r="D251" s="27" t="s">
        <v>75</v>
      </c>
      <c r="E251" s="11" t="s">
        <v>38</v>
      </c>
      <c r="F251" s="11" t="s">
        <v>75</v>
      </c>
    </row>
    <row r="252" spans="2:6" ht="30" customHeight="1" x14ac:dyDescent="0.25">
      <c r="B252" s="25" t="s">
        <v>332</v>
      </c>
      <c r="C252" s="26" t="s">
        <v>373</v>
      </c>
      <c r="D252" s="27" t="s">
        <v>75</v>
      </c>
      <c r="E252" s="28" t="s">
        <v>56</v>
      </c>
      <c r="F252" s="28" t="s">
        <v>75</v>
      </c>
    </row>
    <row r="253" spans="2:6" ht="30" customHeight="1" x14ac:dyDescent="0.25">
      <c r="B253" s="17" t="s">
        <v>374</v>
      </c>
      <c r="C253" s="18" t="s">
        <v>375</v>
      </c>
      <c r="D253" s="27" t="s">
        <v>75</v>
      </c>
      <c r="E253" s="11" t="s">
        <v>56</v>
      </c>
      <c r="F253" s="11" t="s">
        <v>75</v>
      </c>
    </row>
    <row r="254" spans="2:6" ht="30" customHeight="1" x14ac:dyDescent="0.25">
      <c r="B254" s="25" t="s">
        <v>376</v>
      </c>
      <c r="C254" s="26" t="s">
        <v>363</v>
      </c>
      <c r="D254" s="27" t="s">
        <v>75</v>
      </c>
      <c r="E254" s="28" t="s">
        <v>144</v>
      </c>
      <c r="F254" s="28" t="s">
        <v>75</v>
      </c>
    </row>
    <row r="255" spans="2:6" ht="30" customHeight="1" x14ac:dyDescent="0.25">
      <c r="B255" s="17" t="s">
        <v>376</v>
      </c>
      <c r="C255" s="18" t="s">
        <v>344</v>
      </c>
      <c r="D255" s="27" t="s">
        <v>75</v>
      </c>
      <c r="E255" s="11"/>
      <c r="F255" s="11"/>
    </row>
    <row r="256" spans="2:6" ht="30" customHeight="1" x14ac:dyDescent="0.25">
      <c r="B256" s="25" t="s">
        <v>376</v>
      </c>
      <c r="C256" s="26" t="s">
        <v>377</v>
      </c>
      <c r="D256" s="27" t="s">
        <v>75</v>
      </c>
      <c r="E256" s="28"/>
      <c r="F256" s="28"/>
    </row>
    <row r="257" spans="2:6" ht="30" customHeight="1" x14ac:dyDescent="0.25">
      <c r="B257" s="17" t="s">
        <v>9</v>
      </c>
      <c r="C257" s="18" t="s">
        <v>354</v>
      </c>
      <c r="D257" s="27" t="s">
        <v>75</v>
      </c>
      <c r="E257" s="11" t="s">
        <v>378</v>
      </c>
      <c r="F257" s="11" t="s">
        <v>75</v>
      </c>
    </row>
    <row r="258" spans="2:6" ht="30" customHeight="1" x14ac:dyDescent="0.25">
      <c r="B258" s="25" t="s">
        <v>10</v>
      </c>
      <c r="C258" s="26" t="s">
        <v>379</v>
      </c>
      <c r="D258" s="27" t="s">
        <v>75</v>
      </c>
      <c r="E258" s="28" t="s">
        <v>144</v>
      </c>
      <c r="F258" s="28" t="s">
        <v>75</v>
      </c>
    </row>
    <row r="259" spans="2:6" ht="30" customHeight="1" x14ac:dyDescent="0.25">
      <c r="B259" s="17" t="s">
        <v>10</v>
      </c>
      <c r="C259" s="18" t="s">
        <v>380</v>
      </c>
      <c r="D259" s="27" t="s">
        <v>75</v>
      </c>
      <c r="E259" s="11"/>
      <c r="F259" s="11"/>
    </row>
    <row r="260" spans="2:6" ht="30" customHeight="1" x14ac:dyDescent="0.25">
      <c r="B260" s="25" t="s">
        <v>381</v>
      </c>
      <c r="C260" s="26" t="s">
        <v>354</v>
      </c>
      <c r="D260" s="27" t="s">
        <v>75</v>
      </c>
      <c r="E260" s="28" t="s">
        <v>364</v>
      </c>
      <c r="F260" s="28" t="s">
        <v>75</v>
      </c>
    </row>
    <row r="261" spans="2:6" ht="30" customHeight="1" x14ac:dyDescent="0.25">
      <c r="B261" s="17" t="s">
        <v>68</v>
      </c>
      <c r="C261" s="18" t="s">
        <v>379</v>
      </c>
      <c r="D261" s="27" t="s">
        <v>75</v>
      </c>
      <c r="E261" s="11" t="s">
        <v>364</v>
      </c>
      <c r="F261" s="11"/>
    </row>
    <row r="262" spans="2:6" ht="30" customHeight="1" x14ac:dyDescent="0.25">
      <c r="B262" s="25" t="s">
        <v>188</v>
      </c>
      <c r="C262" s="26" t="s">
        <v>382</v>
      </c>
      <c r="D262" s="27" t="s">
        <v>75</v>
      </c>
      <c r="E262" s="28" t="s">
        <v>56</v>
      </c>
      <c r="F262" s="28"/>
    </row>
    <row r="263" spans="2:6" ht="30" customHeight="1" x14ac:dyDescent="0.25">
      <c r="B263" s="17" t="s">
        <v>21</v>
      </c>
      <c r="C263" s="18" t="s">
        <v>356</v>
      </c>
      <c r="D263" s="27" t="s">
        <v>75</v>
      </c>
      <c r="E263" s="11" t="s">
        <v>38</v>
      </c>
      <c r="F263" s="11"/>
    </row>
    <row r="264" spans="2:6" ht="30" customHeight="1" x14ac:dyDescent="0.25">
      <c r="B264" s="25" t="s">
        <v>286</v>
      </c>
      <c r="C264" s="26" t="s">
        <v>354</v>
      </c>
      <c r="D264" s="27" t="s">
        <v>75</v>
      </c>
      <c r="E264" s="28" t="s">
        <v>38</v>
      </c>
      <c r="F264" s="28"/>
    </row>
    <row r="265" spans="2:6" ht="30" customHeight="1" x14ac:dyDescent="0.25">
      <c r="B265" s="17" t="s">
        <v>89</v>
      </c>
      <c r="C265" s="18" t="s">
        <v>354</v>
      </c>
      <c r="D265" s="27" t="s">
        <v>75</v>
      </c>
      <c r="E265" s="11" t="s">
        <v>366</v>
      </c>
      <c r="F265" s="11"/>
    </row>
    <row r="266" spans="2:6" ht="30" customHeight="1" x14ac:dyDescent="0.25">
      <c r="B266" s="25" t="s">
        <v>68</v>
      </c>
      <c r="C266" s="26" t="s">
        <v>383</v>
      </c>
      <c r="D266" s="27" t="s">
        <v>75</v>
      </c>
      <c r="E266" s="28" t="s">
        <v>364</v>
      </c>
      <c r="F266" s="28"/>
    </row>
    <row r="267" spans="2:6" ht="30" customHeight="1" x14ac:dyDescent="0.25">
      <c r="B267" s="17" t="s">
        <v>126</v>
      </c>
      <c r="C267" s="18" t="s">
        <v>354</v>
      </c>
      <c r="D267" s="27" t="s">
        <v>75</v>
      </c>
      <c r="E267" s="11" t="s">
        <v>384</v>
      </c>
      <c r="F267" s="11"/>
    </row>
    <row r="268" spans="2:6" ht="30" customHeight="1" x14ac:dyDescent="0.25">
      <c r="B268" s="25" t="s">
        <v>173</v>
      </c>
      <c r="C268" s="26" t="s">
        <v>385</v>
      </c>
      <c r="D268" s="27" t="s">
        <v>75</v>
      </c>
      <c r="E268" s="28" t="s">
        <v>384</v>
      </c>
      <c r="F268" s="28"/>
    </row>
    <row r="269" spans="2:6" ht="30" customHeight="1" x14ac:dyDescent="0.25">
      <c r="B269" s="17" t="s">
        <v>376</v>
      </c>
      <c r="C269" s="18" t="s">
        <v>386</v>
      </c>
      <c r="D269" s="27" t="s">
        <v>75</v>
      </c>
      <c r="E269" s="11"/>
      <c r="F269" s="11"/>
    </row>
    <row r="270" spans="2:6" ht="30" customHeight="1" x14ac:dyDescent="0.25">
      <c r="B270" s="25" t="s">
        <v>376</v>
      </c>
      <c r="C270" s="26" t="s">
        <v>387</v>
      </c>
      <c r="D270" s="27" t="s">
        <v>75</v>
      </c>
      <c r="E270" s="28" t="s">
        <v>388</v>
      </c>
      <c r="F270" s="28"/>
    </row>
    <row r="271" spans="2:6" ht="30" customHeight="1" x14ac:dyDescent="0.25">
      <c r="B271" s="17" t="s">
        <v>279</v>
      </c>
      <c r="C271" s="18" t="s">
        <v>389</v>
      </c>
      <c r="D271" s="27" t="s">
        <v>75</v>
      </c>
      <c r="E271" s="11" t="s">
        <v>38</v>
      </c>
      <c r="F271" s="11"/>
    </row>
    <row r="272" spans="2:6" ht="30" customHeight="1" x14ac:dyDescent="0.25">
      <c r="B272" s="25" t="s">
        <v>157</v>
      </c>
      <c r="C272" s="26" t="s">
        <v>390</v>
      </c>
      <c r="D272" s="27" t="s">
        <v>75</v>
      </c>
      <c r="E272" s="28" t="s">
        <v>38</v>
      </c>
      <c r="F272" s="28"/>
    </row>
    <row r="273" spans="2:6" ht="30" customHeight="1" x14ac:dyDescent="0.25">
      <c r="B273" s="17" t="s">
        <v>12</v>
      </c>
      <c r="C273" s="18" t="s">
        <v>391</v>
      </c>
      <c r="D273" s="27" t="s">
        <v>75</v>
      </c>
      <c r="E273" s="11" t="s">
        <v>366</v>
      </c>
      <c r="F273" s="11"/>
    </row>
    <row r="274" spans="2:6" ht="30" customHeight="1" x14ac:dyDescent="0.25">
      <c r="B274" s="25" t="s">
        <v>12</v>
      </c>
      <c r="C274" s="26" t="s">
        <v>354</v>
      </c>
      <c r="D274" s="27" t="s">
        <v>75</v>
      </c>
      <c r="E274" s="28"/>
      <c r="F274" s="28"/>
    </row>
    <row r="275" spans="2:6" ht="30" customHeight="1" x14ac:dyDescent="0.25">
      <c r="B275" s="17" t="s">
        <v>66</v>
      </c>
      <c r="C275" s="18" t="s">
        <v>392</v>
      </c>
      <c r="D275" s="27" t="s">
        <v>75</v>
      </c>
      <c r="E275" s="11" t="s">
        <v>393</v>
      </c>
      <c r="F275" s="11"/>
    </row>
    <row r="276" spans="2:6" ht="30" customHeight="1" x14ac:dyDescent="0.25">
      <c r="B276" s="25" t="s">
        <v>66</v>
      </c>
      <c r="C276" s="26" t="s">
        <v>394</v>
      </c>
      <c r="D276" s="27" t="s">
        <v>75</v>
      </c>
      <c r="E276" s="28"/>
      <c r="F276" s="28"/>
    </row>
    <row r="277" spans="2:6" ht="30" customHeight="1" x14ac:dyDescent="0.25">
      <c r="B277" s="17" t="s">
        <v>66</v>
      </c>
      <c r="C277" s="18" t="s">
        <v>395</v>
      </c>
      <c r="D277" s="27" t="s">
        <v>75</v>
      </c>
      <c r="E277" s="11"/>
      <c r="F277" s="11"/>
    </row>
    <row r="278" spans="2:6" ht="30" customHeight="1" x14ac:dyDescent="0.25">
      <c r="B278" s="25" t="s">
        <v>66</v>
      </c>
      <c r="C278" s="26" t="s">
        <v>396</v>
      </c>
      <c r="D278" s="27" t="s">
        <v>75</v>
      </c>
      <c r="E278" s="28"/>
      <c r="F278" s="28"/>
    </row>
    <row r="279" spans="2:6" ht="30" customHeight="1" x14ac:dyDescent="0.25">
      <c r="B279" s="17" t="s">
        <v>161</v>
      </c>
      <c r="C279" s="18" t="s">
        <v>356</v>
      </c>
      <c r="D279" s="27" t="s">
        <v>75</v>
      </c>
      <c r="E279" s="11" t="s">
        <v>366</v>
      </c>
      <c r="F279" s="11"/>
    </row>
    <row r="280" spans="2:6" ht="30" customHeight="1" x14ac:dyDescent="0.25">
      <c r="B280" s="25" t="s">
        <v>161</v>
      </c>
      <c r="C280" s="26" t="s">
        <v>397</v>
      </c>
      <c r="D280" s="27" t="s">
        <v>75</v>
      </c>
      <c r="E280" s="28"/>
      <c r="F280" s="28"/>
    </row>
    <row r="281" spans="2:6" ht="30" customHeight="1" x14ac:dyDescent="0.25">
      <c r="B281" s="17" t="s">
        <v>66</v>
      </c>
      <c r="C281" s="18" t="s">
        <v>394</v>
      </c>
      <c r="D281" s="27" t="s">
        <v>75</v>
      </c>
      <c r="E281" s="11" t="s">
        <v>393</v>
      </c>
      <c r="F281" s="11"/>
    </row>
    <row r="282" spans="2:6" ht="30" customHeight="1" x14ac:dyDescent="0.25">
      <c r="B282" s="25" t="s">
        <v>398</v>
      </c>
      <c r="C282" s="26" t="s">
        <v>399</v>
      </c>
      <c r="D282" s="27" t="s">
        <v>75</v>
      </c>
      <c r="E282" s="28" t="s">
        <v>400</v>
      </c>
      <c r="F282" s="28"/>
    </row>
    <row r="283" spans="2:6" ht="30" customHeight="1" x14ac:dyDescent="0.25">
      <c r="B283" s="17" t="s">
        <v>64</v>
      </c>
      <c r="C283" s="18" t="s">
        <v>401</v>
      </c>
      <c r="D283" s="27" t="s">
        <v>75</v>
      </c>
      <c r="E283" s="11" t="s">
        <v>402</v>
      </c>
      <c r="F283" s="11"/>
    </row>
    <row r="284" spans="2:6" ht="30" customHeight="1" x14ac:dyDescent="0.25">
      <c r="B284" s="25" t="s">
        <v>403</v>
      </c>
      <c r="C284" s="26" t="s">
        <v>159</v>
      </c>
      <c r="D284" s="27" t="s">
        <v>75</v>
      </c>
      <c r="E284" s="28" t="s">
        <v>38</v>
      </c>
      <c r="F284" s="28"/>
    </row>
    <row r="285" spans="2:6" ht="30" customHeight="1" x14ac:dyDescent="0.25">
      <c r="B285" s="17" t="s">
        <v>188</v>
      </c>
      <c r="C285" s="18" t="s">
        <v>404</v>
      </c>
      <c r="D285" s="27" t="s">
        <v>75</v>
      </c>
      <c r="E285" s="11" t="s">
        <v>56</v>
      </c>
      <c r="F285" s="11"/>
    </row>
    <row r="286" spans="2:6" ht="30" customHeight="1" x14ac:dyDescent="0.25">
      <c r="B286" s="25" t="s">
        <v>176</v>
      </c>
      <c r="C286" s="26" t="s">
        <v>354</v>
      </c>
      <c r="D286" s="27" t="s">
        <v>75</v>
      </c>
      <c r="E286" s="28" t="s">
        <v>56</v>
      </c>
      <c r="F286" s="28"/>
    </row>
    <row r="287" spans="2:6" ht="30" customHeight="1" x14ac:dyDescent="0.25">
      <c r="B287" s="17" t="s">
        <v>176</v>
      </c>
      <c r="C287" s="18" t="s">
        <v>405</v>
      </c>
      <c r="D287" s="27" t="s">
        <v>75</v>
      </c>
      <c r="E287" s="11" t="s">
        <v>56</v>
      </c>
      <c r="F287" s="11"/>
    </row>
    <row r="288" spans="2:6" ht="30" customHeight="1" x14ac:dyDescent="0.25">
      <c r="B288" s="25" t="s">
        <v>15</v>
      </c>
      <c r="C288" s="26" t="s">
        <v>406</v>
      </c>
      <c r="D288" s="27" t="s">
        <v>75</v>
      </c>
      <c r="E288" s="28" t="s">
        <v>65</v>
      </c>
      <c r="F288" s="28"/>
    </row>
    <row r="289" spans="2:6" ht="30" customHeight="1" x14ac:dyDescent="0.25">
      <c r="B289" s="17" t="s">
        <v>10</v>
      </c>
      <c r="C289" s="18" t="s">
        <v>407</v>
      </c>
      <c r="D289" s="27" t="s">
        <v>75</v>
      </c>
      <c r="E289" s="11" t="s">
        <v>38</v>
      </c>
      <c r="F289" s="11"/>
    </row>
    <row r="290" spans="2:6" ht="30" customHeight="1" x14ac:dyDescent="0.25">
      <c r="B290" s="25" t="s">
        <v>67</v>
      </c>
      <c r="C290" s="26" t="s">
        <v>408</v>
      </c>
      <c r="D290" s="27" t="s">
        <v>75</v>
      </c>
      <c r="E290" s="28" t="s">
        <v>38</v>
      </c>
      <c r="F290" s="28"/>
    </row>
    <row r="291" spans="2:6" ht="30" customHeight="1" x14ac:dyDescent="0.25">
      <c r="B291" s="17" t="s">
        <v>16</v>
      </c>
      <c r="C291" s="18" t="s">
        <v>348</v>
      </c>
      <c r="D291" s="27" t="s">
        <v>75</v>
      </c>
      <c r="E291" s="11" t="s">
        <v>65</v>
      </c>
      <c r="F291" s="11"/>
    </row>
    <row r="292" spans="2:6" ht="30" customHeight="1" x14ac:dyDescent="0.25">
      <c r="B292" s="25" t="s">
        <v>403</v>
      </c>
      <c r="C292" s="26" t="s">
        <v>409</v>
      </c>
      <c r="D292" s="27" t="s">
        <v>75</v>
      </c>
      <c r="E292" s="28" t="s">
        <v>38</v>
      </c>
      <c r="F292" s="28"/>
    </row>
    <row r="293" spans="2:6" ht="30" customHeight="1" x14ac:dyDescent="0.25">
      <c r="B293" s="17" t="s">
        <v>403</v>
      </c>
      <c r="C293" s="18" t="s">
        <v>410</v>
      </c>
      <c r="D293" s="27" t="s">
        <v>75</v>
      </c>
      <c r="E293" s="11" t="s">
        <v>393</v>
      </c>
      <c r="F293" s="11"/>
    </row>
    <row r="294" spans="2:6" ht="30" customHeight="1" x14ac:dyDescent="0.25">
      <c r="B294" s="25" t="s">
        <v>68</v>
      </c>
      <c r="C294" s="26" t="s">
        <v>411</v>
      </c>
      <c r="D294" s="27" t="s">
        <v>75</v>
      </c>
      <c r="E294" s="28" t="s">
        <v>34</v>
      </c>
      <c r="F294" s="28"/>
    </row>
    <row r="295" spans="2:6" ht="30" customHeight="1" x14ac:dyDescent="0.25">
      <c r="B295" s="17" t="s">
        <v>15</v>
      </c>
      <c r="C295" s="18" t="s">
        <v>412</v>
      </c>
      <c r="D295" s="27" t="s">
        <v>75</v>
      </c>
      <c r="E295" s="11" t="s">
        <v>402</v>
      </c>
      <c r="F295" s="11"/>
    </row>
    <row r="296" spans="2:6" ht="30" customHeight="1" x14ac:dyDescent="0.25">
      <c r="B296" s="25" t="s">
        <v>15</v>
      </c>
      <c r="C296" s="26" t="s">
        <v>413</v>
      </c>
      <c r="D296" s="27" t="s">
        <v>75</v>
      </c>
      <c r="E296" s="28"/>
      <c r="F296" s="28"/>
    </row>
    <row r="297" spans="2:6" ht="30" customHeight="1" x14ac:dyDescent="0.25">
      <c r="B297" s="17" t="s">
        <v>16</v>
      </c>
      <c r="C297" s="18" t="s">
        <v>407</v>
      </c>
      <c r="D297" s="27" t="s">
        <v>75</v>
      </c>
      <c r="E297" s="11" t="s">
        <v>65</v>
      </c>
      <c r="F297" s="11"/>
    </row>
    <row r="298" spans="2:6" ht="30" customHeight="1" x14ac:dyDescent="0.25">
      <c r="B298" s="25" t="s">
        <v>104</v>
      </c>
      <c r="C298" s="26" t="s">
        <v>414</v>
      </c>
      <c r="D298" s="27" t="s">
        <v>75</v>
      </c>
      <c r="E298" s="28" t="s">
        <v>56</v>
      </c>
      <c r="F298" s="28"/>
    </row>
    <row r="299" spans="2:6" ht="30" customHeight="1" x14ac:dyDescent="0.25">
      <c r="B299" s="17" t="s">
        <v>104</v>
      </c>
      <c r="C299" s="18" t="s">
        <v>415</v>
      </c>
      <c r="D299" s="27" t="s">
        <v>75</v>
      </c>
      <c r="E299" s="11" t="s">
        <v>56</v>
      </c>
      <c r="F299" s="11"/>
    </row>
    <row r="300" spans="2:6" ht="30" customHeight="1" x14ac:dyDescent="0.25">
      <c r="B300" s="25" t="s">
        <v>269</v>
      </c>
      <c r="C300" s="26" t="s">
        <v>377</v>
      </c>
      <c r="D300" s="27" t="s">
        <v>75</v>
      </c>
      <c r="E300" s="28" t="s">
        <v>416</v>
      </c>
      <c r="F300" s="28"/>
    </row>
    <row r="301" spans="2:6" ht="30" customHeight="1" x14ac:dyDescent="0.25">
      <c r="B301" s="17" t="s">
        <v>269</v>
      </c>
      <c r="C301" s="18" t="s">
        <v>363</v>
      </c>
      <c r="D301" s="27" t="s">
        <v>75</v>
      </c>
      <c r="E301" s="11" t="s">
        <v>417</v>
      </c>
      <c r="F301" s="11"/>
    </row>
    <row r="302" spans="2:6" ht="30" customHeight="1" x14ac:dyDescent="0.25">
      <c r="B302" s="25" t="s">
        <v>73</v>
      </c>
      <c r="C302" s="26" t="s">
        <v>418</v>
      </c>
      <c r="D302" s="27" t="s">
        <v>75</v>
      </c>
      <c r="E302" s="28" t="s">
        <v>419</v>
      </c>
      <c r="F302" s="28"/>
    </row>
    <row r="303" spans="2:6" ht="30" customHeight="1" x14ac:dyDescent="0.25">
      <c r="B303" s="17" t="s">
        <v>161</v>
      </c>
      <c r="C303" s="18" t="s">
        <v>420</v>
      </c>
      <c r="D303" s="27" t="s">
        <v>75</v>
      </c>
      <c r="E303" s="11" t="s">
        <v>366</v>
      </c>
      <c r="F303" s="11"/>
    </row>
    <row r="304" spans="2:6" ht="30" customHeight="1" x14ac:dyDescent="0.25">
      <c r="B304" s="25" t="s">
        <v>353</v>
      </c>
      <c r="C304" s="26" t="s">
        <v>421</v>
      </c>
      <c r="D304" s="27" t="s">
        <v>75</v>
      </c>
      <c r="E304" s="28" t="s">
        <v>400</v>
      </c>
      <c r="F304" s="28"/>
    </row>
    <row r="305" spans="2:6" ht="30" customHeight="1" x14ac:dyDescent="0.25">
      <c r="B305" s="17" t="s">
        <v>70</v>
      </c>
      <c r="C305" s="18" t="s">
        <v>422</v>
      </c>
      <c r="D305" s="27" t="s">
        <v>75</v>
      </c>
      <c r="E305" s="11" t="s">
        <v>38</v>
      </c>
      <c r="F305" s="11"/>
    </row>
    <row r="306" spans="2:6" ht="30" customHeight="1" x14ac:dyDescent="0.25">
      <c r="B306" s="25" t="s">
        <v>332</v>
      </c>
      <c r="C306" s="26" t="s">
        <v>423</v>
      </c>
      <c r="D306" s="27" t="s">
        <v>75</v>
      </c>
      <c r="E306" s="28" t="s">
        <v>56</v>
      </c>
      <c r="F306" s="28"/>
    </row>
    <row r="307" spans="2:6" ht="30" customHeight="1" x14ac:dyDescent="0.25">
      <c r="B307" s="17" t="s">
        <v>173</v>
      </c>
      <c r="C307" s="18" t="s">
        <v>423</v>
      </c>
      <c r="D307" s="27" t="s">
        <v>75</v>
      </c>
      <c r="E307" s="11" t="s">
        <v>424</v>
      </c>
      <c r="F307" s="11"/>
    </row>
    <row r="308" spans="2:6" ht="30" customHeight="1" x14ac:dyDescent="0.25">
      <c r="B308" s="25" t="s">
        <v>371</v>
      </c>
      <c r="C308" s="26" t="s">
        <v>425</v>
      </c>
      <c r="D308" s="27" t="s">
        <v>75</v>
      </c>
      <c r="E308" s="28" t="s">
        <v>426</v>
      </c>
      <c r="F308" s="28"/>
    </row>
    <row r="309" spans="2:6" ht="30" customHeight="1" x14ac:dyDescent="0.25">
      <c r="B309" s="17" t="s">
        <v>15</v>
      </c>
      <c r="C309" s="18" t="s">
        <v>427</v>
      </c>
      <c r="D309" s="27" t="s">
        <v>75</v>
      </c>
      <c r="E309" s="11" t="s">
        <v>419</v>
      </c>
      <c r="F309" s="11"/>
    </row>
    <row r="310" spans="2:6" ht="30" customHeight="1" x14ac:dyDescent="0.25">
      <c r="B310" s="25" t="s">
        <v>173</v>
      </c>
      <c r="C310" s="26" t="s">
        <v>428</v>
      </c>
      <c r="D310" s="27" t="s">
        <v>75</v>
      </c>
      <c r="E310" s="28" t="s">
        <v>424</v>
      </c>
      <c r="F310" s="28"/>
    </row>
    <row r="311" spans="2:6" ht="30" customHeight="1" x14ac:dyDescent="0.25">
      <c r="B311" s="17" t="s">
        <v>204</v>
      </c>
      <c r="C311" s="18" t="s">
        <v>423</v>
      </c>
      <c r="D311" s="27" t="s">
        <v>75</v>
      </c>
      <c r="E311" s="11" t="s">
        <v>38</v>
      </c>
      <c r="F311" s="11"/>
    </row>
    <row r="312" spans="2:6" ht="30" customHeight="1" x14ac:dyDescent="0.25">
      <c r="B312" s="25" t="s">
        <v>279</v>
      </c>
      <c r="C312" s="26" t="s">
        <v>422</v>
      </c>
      <c r="D312" s="27" t="s">
        <v>75</v>
      </c>
      <c r="E312" s="28" t="s">
        <v>38</v>
      </c>
      <c r="F312" s="28"/>
    </row>
    <row r="313" spans="2:6" ht="30" customHeight="1" x14ac:dyDescent="0.25">
      <c r="B313" s="17" t="s">
        <v>176</v>
      </c>
      <c r="C313" s="18" t="s">
        <v>422</v>
      </c>
      <c r="D313" s="27" t="s">
        <v>75</v>
      </c>
      <c r="E313" s="11" t="s">
        <v>56</v>
      </c>
      <c r="F313" s="11"/>
    </row>
    <row r="314" spans="2:6" ht="30" customHeight="1" x14ac:dyDescent="0.25">
      <c r="B314" s="25" t="s">
        <v>68</v>
      </c>
      <c r="C314" s="26" t="s">
        <v>429</v>
      </c>
      <c r="D314" s="27" t="s">
        <v>75</v>
      </c>
      <c r="E314" s="28" t="s">
        <v>34</v>
      </c>
      <c r="F314" s="28"/>
    </row>
    <row r="315" spans="2:6" ht="30" customHeight="1" x14ac:dyDescent="0.25">
      <c r="B315" s="17" t="s">
        <v>176</v>
      </c>
      <c r="C315" s="18" t="s">
        <v>422</v>
      </c>
      <c r="D315" s="27" t="s">
        <v>75</v>
      </c>
      <c r="E315" s="11" t="s">
        <v>56</v>
      </c>
      <c r="F315" s="11"/>
    </row>
    <row r="316" spans="2:6" ht="30" customHeight="1" x14ac:dyDescent="0.25">
      <c r="B316" s="25" t="s">
        <v>70</v>
      </c>
      <c r="C316" s="26" t="s">
        <v>430</v>
      </c>
      <c r="D316" s="27" t="s">
        <v>75</v>
      </c>
      <c r="E316" s="28" t="s">
        <v>393</v>
      </c>
      <c r="F316" s="28"/>
    </row>
    <row r="317" spans="2:6" ht="30" customHeight="1" x14ac:dyDescent="0.25">
      <c r="B317" s="17" t="s">
        <v>398</v>
      </c>
      <c r="C317" s="18" t="s">
        <v>407</v>
      </c>
      <c r="D317" s="27" t="s">
        <v>75</v>
      </c>
      <c r="E317" s="11" t="s">
        <v>38</v>
      </c>
      <c r="F317" s="11"/>
    </row>
    <row r="318" spans="2:6" ht="30" customHeight="1" x14ac:dyDescent="0.25">
      <c r="B318" s="25" t="s">
        <v>68</v>
      </c>
      <c r="C318" s="26" t="s">
        <v>431</v>
      </c>
      <c r="D318" s="27" t="s">
        <v>75</v>
      </c>
      <c r="E318" s="28" t="s">
        <v>34</v>
      </c>
      <c r="F318" s="28"/>
    </row>
    <row r="319" spans="2:6" ht="30" customHeight="1" x14ac:dyDescent="0.25">
      <c r="B319" s="17" t="s">
        <v>279</v>
      </c>
      <c r="C319" s="18" t="s">
        <v>432</v>
      </c>
      <c r="D319" s="27" t="s">
        <v>75</v>
      </c>
      <c r="E319" s="11" t="s">
        <v>38</v>
      </c>
      <c r="F319" s="11"/>
    </row>
    <row r="320" spans="2:6" ht="30" customHeight="1" x14ac:dyDescent="0.25">
      <c r="B320" s="25" t="s">
        <v>279</v>
      </c>
      <c r="C320" s="26" t="s">
        <v>377</v>
      </c>
      <c r="D320" s="27" t="s">
        <v>75</v>
      </c>
      <c r="E320" s="28" t="s">
        <v>38</v>
      </c>
      <c r="F320" s="28"/>
    </row>
    <row r="321" spans="2:6" ht="30" customHeight="1" x14ac:dyDescent="0.25">
      <c r="B321" s="17" t="s">
        <v>433</v>
      </c>
      <c r="C321" s="18" t="s">
        <v>432</v>
      </c>
      <c r="D321" s="27" t="s">
        <v>75</v>
      </c>
      <c r="E321" s="11" t="s">
        <v>400</v>
      </c>
      <c r="F321" s="11"/>
    </row>
    <row r="322" spans="2:6" ht="30" customHeight="1" x14ac:dyDescent="0.25">
      <c r="B322" s="25" t="s">
        <v>73</v>
      </c>
      <c r="C322" s="26" t="s">
        <v>432</v>
      </c>
      <c r="D322" s="27" t="s">
        <v>75</v>
      </c>
      <c r="E322" s="28" t="s">
        <v>56</v>
      </c>
      <c r="F322" s="28"/>
    </row>
    <row r="323" spans="2:6" ht="30" customHeight="1" x14ac:dyDescent="0.25">
      <c r="B323" s="17" t="s">
        <v>176</v>
      </c>
      <c r="C323" s="18" t="s">
        <v>432</v>
      </c>
      <c r="D323" s="27" t="s">
        <v>75</v>
      </c>
      <c r="E323" s="11" t="s">
        <v>56</v>
      </c>
      <c r="F323" s="11"/>
    </row>
    <row r="324" spans="2:6" ht="30" customHeight="1" x14ac:dyDescent="0.25">
      <c r="B324" s="25" t="s">
        <v>69</v>
      </c>
      <c r="C324" s="26" t="s">
        <v>434</v>
      </c>
      <c r="D324" s="27" t="s">
        <v>75</v>
      </c>
      <c r="E324" s="28" t="s">
        <v>34</v>
      </c>
      <c r="F324" s="28"/>
    </row>
    <row r="325" spans="2:6" ht="30" customHeight="1" x14ac:dyDescent="0.25">
      <c r="B325" s="17" t="s">
        <v>398</v>
      </c>
      <c r="C325" s="18" t="s">
        <v>435</v>
      </c>
      <c r="D325" s="27" t="s">
        <v>75</v>
      </c>
      <c r="E325" s="11" t="s">
        <v>400</v>
      </c>
      <c r="F325" s="11"/>
    </row>
    <row r="326" spans="2:6" ht="30" customHeight="1" x14ac:dyDescent="0.25">
      <c r="B326" s="25" t="s">
        <v>436</v>
      </c>
      <c r="C326" s="26" t="s">
        <v>354</v>
      </c>
      <c r="D326" s="27" t="s">
        <v>75</v>
      </c>
      <c r="E326" s="28" t="s">
        <v>400</v>
      </c>
      <c r="F326" s="28"/>
    </row>
    <row r="327" spans="2:6" ht="30" customHeight="1" x14ac:dyDescent="0.25">
      <c r="B327" s="17" t="s">
        <v>269</v>
      </c>
      <c r="C327" s="18" t="s">
        <v>407</v>
      </c>
      <c r="D327" s="27" t="s">
        <v>75</v>
      </c>
      <c r="E327" s="11" t="s">
        <v>34</v>
      </c>
      <c r="F327" s="11"/>
    </row>
    <row r="328" spans="2:6" ht="30" customHeight="1" x14ac:dyDescent="0.25">
      <c r="B328" s="25" t="s">
        <v>269</v>
      </c>
      <c r="C328" s="26" t="s">
        <v>356</v>
      </c>
      <c r="D328" s="27" t="s">
        <v>75</v>
      </c>
      <c r="E328" s="28" t="s">
        <v>34</v>
      </c>
      <c r="F328" s="28"/>
    </row>
    <row r="329" spans="2:6" ht="30" customHeight="1" x14ac:dyDescent="0.25">
      <c r="B329" s="17" t="s">
        <v>157</v>
      </c>
      <c r="C329" s="18" t="s">
        <v>437</v>
      </c>
      <c r="D329" s="27" t="s">
        <v>75</v>
      </c>
      <c r="E329" s="11" t="s">
        <v>56</v>
      </c>
      <c r="F329" s="11"/>
    </row>
    <row r="330" spans="2:6" ht="30" customHeight="1" x14ac:dyDescent="0.25">
      <c r="B330" s="25" t="s">
        <v>164</v>
      </c>
      <c r="C330" s="26" t="s">
        <v>356</v>
      </c>
      <c r="D330" s="27" t="s">
        <v>75</v>
      </c>
      <c r="E330" s="28" t="s">
        <v>400</v>
      </c>
      <c r="F330" s="28"/>
    </row>
    <row r="331" spans="2:6" ht="30" customHeight="1" x14ac:dyDescent="0.25">
      <c r="B331" s="17" t="s">
        <v>164</v>
      </c>
      <c r="C331" s="18" t="s">
        <v>432</v>
      </c>
      <c r="D331" s="27" t="s">
        <v>75</v>
      </c>
      <c r="E331" s="11" t="s">
        <v>400</v>
      </c>
      <c r="F331" s="11"/>
    </row>
    <row r="332" spans="2:6" ht="30" customHeight="1" x14ac:dyDescent="0.25">
      <c r="B332" s="25" t="s">
        <v>69</v>
      </c>
      <c r="C332" s="26" t="s">
        <v>438</v>
      </c>
      <c r="D332" s="27" t="s">
        <v>75</v>
      </c>
      <c r="E332" s="28" t="s">
        <v>34</v>
      </c>
      <c r="F332" s="28"/>
    </row>
    <row r="333" spans="2:6" ht="30" customHeight="1" x14ac:dyDescent="0.25">
      <c r="B333" s="17" t="s">
        <v>301</v>
      </c>
      <c r="C333" s="18" t="s">
        <v>407</v>
      </c>
      <c r="D333" s="27" t="s">
        <v>75</v>
      </c>
      <c r="E333" s="11" t="s">
        <v>439</v>
      </c>
      <c r="F333" s="11"/>
    </row>
    <row r="334" spans="2:6" ht="30" customHeight="1" x14ac:dyDescent="0.25">
      <c r="B334" s="25" t="s">
        <v>440</v>
      </c>
      <c r="C334" s="26" t="s">
        <v>441</v>
      </c>
      <c r="D334" s="27" t="s">
        <v>75</v>
      </c>
      <c r="E334" s="28" t="s">
        <v>65</v>
      </c>
      <c r="F334" s="28"/>
    </row>
    <row r="335" spans="2:6" ht="30" customHeight="1" x14ac:dyDescent="0.25">
      <c r="B335" s="17" t="s">
        <v>398</v>
      </c>
      <c r="C335" s="18" t="s">
        <v>442</v>
      </c>
      <c r="D335" s="27" t="s">
        <v>75</v>
      </c>
      <c r="E335" s="11" t="s">
        <v>400</v>
      </c>
      <c r="F335" s="11"/>
    </row>
    <row r="336" spans="2:6" ht="30" customHeight="1" x14ac:dyDescent="0.25">
      <c r="B336" s="25" t="s">
        <v>443</v>
      </c>
      <c r="C336" s="26" t="s">
        <v>444</v>
      </c>
      <c r="D336" s="27" t="s">
        <v>75</v>
      </c>
      <c r="E336" s="28" t="s">
        <v>445</v>
      </c>
      <c r="F336" s="28"/>
    </row>
    <row r="337" spans="2:6" ht="30" customHeight="1" x14ac:dyDescent="0.25">
      <c r="B337" s="17" t="s">
        <v>157</v>
      </c>
      <c r="C337" s="18" t="s">
        <v>446</v>
      </c>
      <c r="D337" s="27" t="s">
        <v>75</v>
      </c>
      <c r="E337" s="11" t="s">
        <v>38</v>
      </c>
      <c r="F337" s="11"/>
    </row>
    <row r="338" spans="2:6" ht="30" customHeight="1" x14ac:dyDescent="0.25">
      <c r="B338" s="25" t="s">
        <v>157</v>
      </c>
      <c r="C338" s="26" t="s">
        <v>356</v>
      </c>
      <c r="D338" s="27" t="s">
        <v>75</v>
      </c>
      <c r="E338" s="28" t="s">
        <v>38</v>
      </c>
      <c r="F338" s="28"/>
    </row>
    <row r="339" spans="2:6" ht="30" customHeight="1" x14ac:dyDescent="0.25">
      <c r="B339" s="17" t="s">
        <v>161</v>
      </c>
      <c r="C339" s="18" t="s">
        <v>447</v>
      </c>
      <c r="D339" s="27" t="s">
        <v>75</v>
      </c>
      <c r="E339" s="11" t="s">
        <v>400</v>
      </c>
      <c r="F339" s="11"/>
    </row>
    <row r="340" spans="2:6" ht="30" customHeight="1" x14ac:dyDescent="0.25">
      <c r="B340" s="25" t="s">
        <v>73</v>
      </c>
      <c r="C340" s="26" t="s">
        <v>448</v>
      </c>
      <c r="D340" s="27" t="s">
        <v>75</v>
      </c>
      <c r="E340" s="28" t="s">
        <v>56</v>
      </c>
      <c r="F340" s="28"/>
    </row>
    <row r="341" spans="2:6" ht="30" customHeight="1" x14ac:dyDescent="0.25">
      <c r="B341" s="17" t="s">
        <v>449</v>
      </c>
      <c r="C341" s="18" t="s">
        <v>450</v>
      </c>
      <c r="D341" s="27" t="s">
        <v>75</v>
      </c>
      <c r="E341" s="11" t="s">
        <v>34</v>
      </c>
      <c r="F341" s="11"/>
    </row>
    <row r="342" spans="2:6" ht="30" customHeight="1" x14ac:dyDescent="0.25">
      <c r="B342" s="25" t="s">
        <v>449</v>
      </c>
      <c r="C342" s="26" t="s">
        <v>450</v>
      </c>
      <c r="D342" s="27" t="s">
        <v>75</v>
      </c>
      <c r="E342" s="28" t="s">
        <v>34</v>
      </c>
      <c r="F342" s="28"/>
    </row>
    <row r="343" spans="2:6" ht="30" customHeight="1" x14ac:dyDescent="0.25">
      <c r="B343" s="17" t="s">
        <v>66</v>
      </c>
      <c r="C343" s="18" t="s">
        <v>451</v>
      </c>
      <c r="D343" s="27" t="s">
        <v>75</v>
      </c>
      <c r="E343" s="11" t="s">
        <v>38</v>
      </c>
      <c r="F343" s="11"/>
    </row>
    <row r="344" spans="2:6" ht="30" customHeight="1" x14ac:dyDescent="0.25">
      <c r="B344" s="25" t="s">
        <v>452</v>
      </c>
      <c r="C344" s="26" t="s">
        <v>453</v>
      </c>
      <c r="D344" s="27" t="s">
        <v>75</v>
      </c>
      <c r="E344" s="28" t="s">
        <v>454</v>
      </c>
      <c r="F344" s="28"/>
    </row>
    <row r="345" spans="2:6" ht="30" customHeight="1" x14ac:dyDescent="0.25">
      <c r="B345" s="17" t="s">
        <v>66</v>
      </c>
      <c r="C345" s="18" t="s">
        <v>455</v>
      </c>
      <c r="D345" s="27" t="s">
        <v>75</v>
      </c>
      <c r="E345" s="11" t="s">
        <v>38</v>
      </c>
      <c r="F345" s="11"/>
    </row>
    <row r="346" spans="2:6" ht="30" customHeight="1" x14ac:dyDescent="0.25">
      <c r="B346" s="25" t="s">
        <v>456</v>
      </c>
      <c r="C346" s="26" t="s">
        <v>457</v>
      </c>
      <c r="D346" s="27" t="s">
        <v>75</v>
      </c>
      <c r="E346" s="28" t="s">
        <v>38</v>
      </c>
      <c r="F346" s="28"/>
    </row>
    <row r="347" spans="2:6" ht="30" customHeight="1" x14ac:dyDescent="0.25">
      <c r="B347" s="17" t="s">
        <v>334</v>
      </c>
      <c r="C347" s="18" t="s">
        <v>458</v>
      </c>
      <c r="D347" s="27" t="s">
        <v>75</v>
      </c>
      <c r="E347" s="11" t="s">
        <v>38</v>
      </c>
      <c r="F347" s="11"/>
    </row>
    <row r="348" spans="2:6" ht="30" customHeight="1" x14ac:dyDescent="0.25">
      <c r="B348" s="25" t="s">
        <v>332</v>
      </c>
      <c r="C348" s="26" t="s">
        <v>459</v>
      </c>
      <c r="D348" s="27" t="s">
        <v>75</v>
      </c>
      <c r="E348" s="28" t="s">
        <v>56</v>
      </c>
      <c r="F348" s="28"/>
    </row>
    <row r="349" spans="2:6" ht="30" customHeight="1" x14ac:dyDescent="0.25">
      <c r="B349" s="17" t="s">
        <v>157</v>
      </c>
      <c r="C349" s="18" t="s">
        <v>460</v>
      </c>
      <c r="D349" s="27" t="s">
        <v>75</v>
      </c>
      <c r="E349" s="11" t="s">
        <v>38</v>
      </c>
      <c r="F349" s="11"/>
    </row>
    <row r="350" spans="2:6" ht="30" customHeight="1" x14ac:dyDescent="0.25">
      <c r="B350" s="25" t="s">
        <v>188</v>
      </c>
      <c r="C350" s="26" t="s">
        <v>461</v>
      </c>
      <c r="D350" s="27" t="s">
        <v>75</v>
      </c>
      <c r="E350" s="28" t="s">
        <v>56</v>
      </c>
      <c r="F350" s="28"/>
    </row>
    <row r="351" spans="2:6" ht="30" customHeight="1" x14ac:dyDescent="0.25">
      <c r="B351" s="17" t="s">
        <v>398</v>
      </c>
      <c r="C351" s="18" t="s">
        <v>462</v>
      </c>
      <c r="D351" s="27" t="s">
        <v>75</v>
      </c>
      <c r="E351" s="11" t="s">
        <v>400</v>
      </c>
      <c r="F351" s="11"/>
    </row>
    <row r="352" spans="2:6" ht="30" customHeight="1" x14ac:dyDescent="0.25">
      <c r="B352" s="25" t="s">
        <v>334</v>
      </c>
      <c r="C352" s="26" t="s">
        <v>463</v>
      </c>
      <c r="D352" s="27" t="s">
        <v>75</v>
      </c>
      <c r="E352" s="28" t="s">
        <v>400</v>
      </c>
      <c r="F352" s="28"/>
    </row>
    <row r="353" spans="2:6" ht="30" customHeight="1" x14ac:dyDescent="0.25">
      <c r="B353" s="17" t="s">
        <v>135</v>
      </c>
      <c r="C353" s="18" t="s">
        <v>464</v>
      </c>
      <c r="D353" s="27" t="s">
        <v>75</v>
      </c>
      <c r="E353" s="11" t="s">
        <v>34</v>
      </c>
      <c r="F353" s="11"/>
    </row>
    <row r="354" spans="2:6" ht="30" customHeight="1" x14ac:dyDescent="0.25">
      <c r="B354" s="25" t="s">
        <v>21</v>
      </c>
      <c r="C354" s="26" t="s">
        <v>465</v>
      </c>
      <c r="D354" s="27" t="s">
        <v>75</v>
      </c>
      <c r="E354" s="28" t="s">
        <v>466</v>
      </c>
      <c r="F354" s="28"/>
    </row>
    <row r="355" spans="2:6" ht="30" customHeight="1" x14ac:dyDescent="0.25">
      <c r="B355" s="17" t="s">
        <v>69</v>
      </c>
      <c r="C355" s="18" t="s">
        <v>467</v>
      </c>
      <c r="D355" s="27" t="s">
        <v>75</v>
      </c>
      <c r="E355" s="11" t="s">
        <v>34</v>
      </c>
      <c r="F355" s="11"/>
    </row>
    <row r="356" spans="2:6" ht="30" customHeight="1" x14ac:dyDescent="0.25">
      <c r="B356" s="25" t="s">
        <v>196</v>
      </c>
      <c r="C356" s="26" t="s">
        <v>468</v>
      </c>
      <c r="D356" s="27" t="s">
        <v>75</v>
      </c>
      <c r="E356" s="28" t="s">
        <v>34</v>
      </c>
      <c r="F356" s="28"/>
    </row>
    <row r="357" spans="2:6" ht="30" customHeight="1" x14ac:dyDescent="0.25">
      <c r="B357" s="17" t="s">
        <v>17</v>
      </c>
      <c r="C357" s="18" t="s">
        <v>469</v>
      </c>
      <c r="D357" s="27" t="s">
        <v>75</v>
      </c>
      <c r="E357" s="11" t="s">
        <v>38</v>
      </c>
      <c r="F357" s="11"/>
    </row>
    <row r="358" spans="2:6" ht="30" customHeight="1" x14ac:dyDescent="0.25">
      <c r="B358" s="25" t="s">
        <v>67</v>
      </c>
      <c r="C358" s="26" t="s">
        <v>470</v>
      </c>
      <c r="D358" s="27" t="s">
        <v>75</v>
      </c>
      <c r="E358" s="28" t="s">
        <v>38</v>
      </c>
      <c r="F358" s="28"/>
    </row>
    <row r="359" spans="2:6" ht="30" customHeight="1" x14ac:dyDescent="0.25">
      <c r="B359" s="17" t="s">
        <v>69</v>
      </c>
      <c r="C359" s="18" t="s">
        <v>471</v>
      </c>
      <c r="D359" s="27" t="s">
        <v>75</v>
      </c>
      <c r="E359" s="11" t="s">
        <v>34</v>
      </c>
      <c r="F359" s="11"/>
    </row>
    <row r="360" spans="2:6" ht="30" customHeight="1" x14ac:dyDescent="0.25">
      <c r="B360" s="25" t="s">
        <v>157</v>
      </c>
      <c r="C360" s="26" t="s">
        <v>472</v>
      </c>
      <c r="D360" s="27" t="s">
        <v>75</v>
      </c>
      <c r="E360" s="28" t="s">
        <v>38</v>
      </c>
      <c r="F360" s="28"/>
    </row>
    <row r="361" spans="2:6" ht="30" customHeight="1" x14ac:dyDescent="0.25">
      <c r="B361" s="17" t="s">
        <v>104</v>
      </c>
      <c r="C361" s="18" t="s">
        <v>473</v>
      </c>
      <c r="D361" s="27" t="s">
        <v>75</v>
      </c>
      <c r="E361" s="11" t="s">
        <v>56</v>
      </c>
      <c r="F361" s="11"/>
    </row>
    <row r="362" spans="2:6" ht="30" customHeight="1" x14ac:dyDescent="0.25">
      <c r="B362" s="25" t="s">
        <v>474</v>
      </c>
      <c r="C362" s="26" t="s">
        <v>475</v>
      </c>
      <c r="D362" s="27" t="s">
        <v>75</v>
      </c>
      <c r="E362" s="28" t="s">
        <v>65</v>
      </c>
      <c r="F362" s="28"/>
    </row>
    <row r="363" spans="2:6" ht="30" customHeight="1" x14ac:dyDescent="0.25">
      <c r="B363" s="17" t="s">
        <v>66</v>
      </c>
      <c r="C363" s="18" t="s">
        <v>476</v>
      </c>
      <c r="D363" s="27" t="s">
        <v>75</v>
      </c>
      <c r="E363" s="11" t="s">
        <v>38</v>
      </c>
      <c r="F363" s="11"/>
    </row>
    <row r="364" spans="2:6" ht="30" customHeight="1" x14ac:dyDescent="0.25">
      <c r="B364" s="25" t="s">
        <v>477</v>
      </c>
      <c r="C364" s="26" t="s">
        <v>478</v>
      </c>
      <c r="D364" s="27" t="s">
        <v>75</v>
      </c>
      <c r="E364" s="28" t="s">
        <v>56</v>
      </c>
      <c r="F364" s="28"/>
    </row>
    <row r="365" spans="2:6" ht="30" customHeight="1" x14ac:dyDescent="0.25">
      <c r="B365" s="17" t="s">
        <v>114</v>
      </c>
      <c r="C365" s="18" t="s">
        <v>479</v>
      </c>
      <c r="D365" s="27" t="s">
        <v>75</v>
      </c>
      <c r="E365" s="11" t="s">
        <v>38</v>
      </c>
      <c r="F365" s="11"/>
    </row>
    <row r="366" spans="2:6" ht="30" customHeight="1" x14ac:dyDescent="0.25">
      <c r="B366" s="25" t="s">
        <v>176</v>
      </c>
      <c r="C366" s="26" t="s">
        <v>480</v>
      </c>
      <c r="D366" s="27" t="s">
        <v>75</v>
      </c>
      <c r="E366" s="28" t="s">
        <v>56</v>
      </c>
      <c r="F366" s="28"/>
    </row>
    <row r="367" spans="2:6" ht="30" customHeight="1" x14ac:dyDescent="0.25">
      <c r="B367" s="17" t="s">
        <v>164</v>
      </c>
      <c r="C367" s="18" t="s">
        <v>481</v>
      </c>
      <c r="D367" s="27" t="s">
        <v>75</v>
      </c>
      <c r="E367" s="11"/>
      <c r="F367" s="11"/>
    </row>
    <row r="368" spans="2:6" ht="30" customHeight="1" x14ac:dyDescent="0.25">
      <c r="B368" s="25" t="s">
        <v>482</v>
      </c>
      <c r="C368" s="26" t="s">
        <v>483</v>
      </c>
      <c r="D368" s="27" t="s">
        <v>75</v>
      </c>
      <c r="E368" s="28" t="s">
        <v>484</v>
      </c>
      <c r="F368" s="28"/>
    </row>
    <row r="369" spans="2:6" ht="30" customHeight="1" x14ac:dyDescent="0.25">
      <c r="B369" s="17" t="s">
        <v>482</v>
      </c>
      <c r="C369" s="18" t="s">
        <v>485</v>
      </c>
      <c r="D369" s="27" t="s">
        <v>75</v>
      </c>
      <c r="E369" s="11"/>
      <c r="F369" s="11"/>
    </row>
    <row r="370" spans="2:6" ht="30" customHeight="1" x14ac:dyDescent="0.25">
      <c r="B370" s="25" t="s">
        <v>486</v>
      </c>
      <c r="C370" s="26" t="s">
        <v>483</v>
      </c>
      <c r="D370" s="27" t="s">
        <v>75</v>
      </c>
      <c r="E370" s="28" t="s">
        <v>484</v>
      </c>
      <c r="F370" s="28"/>
    </row>
    <row r="371" spans="2:6" ht="30" customHeight="1" x14ac:dyDescent="0.25">
      <c r="B371" s="17" t="s">
        <v>68</v>
      </c>
      <c r="C371" s="18" t="s">
        <v>487</v>
      </c>
      <c r="D371" s="27" t="s">
        <v>75</v>
      </c>
      <c r="E371" s="11" t="s">
        <v>38</v>
      </c>
      <c r="F371" s="11"/>
    </row>
    <row r="372" spans="2:6" ht="30" customHeight="1" x14ac:dyDescent="0.25">
      <c r="B372" s="25" t="s">
        <v>68</v>
      </c>
      <c r="C372" s="26" t="s">
        <v>488</v>
      </c>
      <c r="D372" s="27" t="s">
        <v>75</v>
      </c>
      <c r="E372" s="28" t="s">
        <v>38</v>
      </c>
      <c r="F372" s="28"/>
    </row>
    <row r="373" spans="2:6" ht="30" customHeight="1" x14ac:dyDescent="0.25">
      <c r="B373" s="17" t="s">
        <v>68</v>
      </c>
      <c r="C373" s="18" t="s">
        <v>489</v>
      </c>
      <c r="D373" s="27" t="s">
        <v>75</v>
      </c>
      <c r="E373" s="11" t="s">
        <v>38</v>
      </c>
      <c r="F373" s="11"/>
    </row>
    <row r="374" spans="2:6" ht="30" customHeight="1" x14ac:dyDescent="0.25">
      <c r="B374" s="25" t="s">
        <v>68</v>
      </c>
      <c r="C374" s="26" t="s">
        <v>490</v>
      </c>
      <c r="D374" s="27" t="s">
        <v>75</v>
      </c>
      <c r="E374" s="28" t="s">
        <v>38</v>
      </c>
      <c r="F374" s="28"/>
    </row>
    <row r="375" spans="2:6" ht="30" customHeight="1" x14ac:dyDescent="0.25">
      <c r="B375" s="17" t="s">
        <v>68</v>
      </c>
      <c r="C375" s="18" t="s">
        <v>491</v>
      </c>
      <c r="D375" s="27" t="s">
        <v>75</v>
      </c>
      <c r="E375" s="11" t="s">
        <v>38</v>
      </c>
      <c r="F375" s="11"/>
    </row>
    <row r="376" spans="2:6" ht="30" customHeight="1" x14ac:dyDescent="0.25">
      <c r="B376" s="25" t="s">
        <v>279</v>
      </c>
      <c r="C376" s="26" t="s">
        <v>492</v>
      </c>
      <c r="D376" s="27" t="s">
        <v>75</v>
      </c>
      <c r="E376" s="28" t="s">
        <v>38</v>
      </c>
      <c r="F376" s="28"/>
    </row>
    <row r="377" spans="2:6" ht="30" customHeight="1" x14ac:dyDescent="0.25">
      <c r="B377" s="17" t="s">
        <v>279</v>
      </c>
      <c r="C377" s="18" t="s">
        <v>493</v>
      </c>
      <c r="D377" s="27" t="s">
        <v>75</v>
      </c>
      <c r="E377" s="11" t="s">
        <v>38</v>
      </c>
      <c r="F377" s="11"/>
    </row>
    <row r="378" spans="2:6" ht="30" customHeight="1" x14ac:dyDescent="0.25">
      <c r="B378" s="25" t="s">
        <v>279</v>
      </c>
      <c r="C378" s="26" t="s">
        <v>494</v>
      </c>
      <c r="D378" s="27" t="s">
        <v>75</v>
      </c>
      <c r="E378" s="28" t="s">
        <v>38</v>
      </c>
      <c r="F378" s="28"/>
    </row>
    <row r="379" spans="2:6" ht="30" customHeight="1" x14ac:dyDescent="0.25">
      <c r="B379" s="17" t="s">
        <v>73</v>
      </c>
      <c r="C379" s="18" t="s">
        <v>495</v>
      </c>
      <c r="D379" s="27" t="s">
        <v>75</v>
      </c>
      <c r="E379" s="11" t="s">
        <v>56</v>
      </c>
      <c r="F379" s="11"/>
    </row>
    <row r="380" spans="2:6" ht="30" customHeight="1" x14ac:dyDescent="0.25">
      <c r="B380" s="25" t="s">
        <v>8</v>
      </c>
      <c r="C380" s="26" t="s">
        <v>495</v>
      </c>
      <c r="D380" s="27" t="s">
        <v>75</v>
      </c>
      <c r="E380" s="28" t="s">
        <v>56</v>
      </c>
      <c r="F380" s="28"/>
    </row>
    <row r="381" spans="2:6" ht="30" customHeight="1" x14ac:dyDescent="0.25">
      <c r="B381" s="17" t="s">
        <v>359</v>
      </c>
      <c r="C381" s="18" t="s">
        <v>496</v>
      </c>
      <c r="D381" s="27" t="s">
        <v>75</v>
      </c>
      <c r="E381" s="11" t="s">
        <v>38</v>
      </c>
      <c r="F381" s="11"/>
    </row>
    <row r="382" spans="2:6" ht="30" customHeight="1" x14ac:dyDescent="0.25">
      <c r="B382" s="25" t="s">
        <v>147</v>
      </c>
      <c r="C382" s="26" t="s">
        <v>497</v>
      </c>
      <c r="D382" s="27" t="s">
        <v>75</v>
      </c>
      <c r="E382" s="28" t="s">
        <v>38</v>
      </c>
      <c r="F382" s="28"/>
    </row>
    <row r="383" spans="2:6" ht="30" customHeight="1" x14ac:dyDescent="0.25">
      <c r="B383" s="17" t="s">
        <v>398</v>
      </c>
      <c r="C383" s="18" t="s">
        <v>498</v>
      </c>
      <c r="D383" s="27" t="s">
        <v>75</v>
      </c>
      <c r="E383" s="11" t="s">
        <v>393</v>
      </c>
      <c r="F383" s="11"/>
    </row>
    <row r="384" spans="2:6" ht="30" customHeight="1" x14ac:dyDescent="0.25">
      <c r="B384" s="25" t="s">
        <v>398</v>
      </c>
      <c r="C384" s="26" t="s">
        <v>499</v>
      </c>
      <c r="D384" s="27" t="s">
        <v>75</v>
      </c>
      <c r="E384" s="28" t="s">
        <v>56</v>
      </c>
      <c r="F384" s="28"/>
    </row>
    <row r="385" spans="2:6" ht="30" customHeight="1" x14ac:dyDescent="0.25">
      <c r="B385" s="17" t="s">
        <v>500</v>
      </c>
      <c r="C385" s="18" t="s">
        <v>501</v>
      </c>
      <c r="D385" s="27" t="s">
        <v>75</v>
      </c>
      <c r="E385" s="11" t="s">
        <v>65</v>
      </c>
      <c r="F385" s="11"/>
    </row>
    <row r="386" spans="2:6" ht="30" customHeight="1" x14ac:dyDescent="0.25">
      <c r="B386" s="25" t="s">
        <v>334</v>
      </c>
      <c r="C386" s="26" t="s">
        <v>502</v>
      </c>
      <c r="D386" s="27" t="s">
        <v>75</v>
      </c>
      <c r="E386" s="28" t="s">
        <v>56</v>
      </c>
      <c r="F386" s="28"/>
    </row>
    <row r="387" spans="2:6" ht="30" customHeight="1" x14ac:dyDescent="0.25">
      <c r="B387" s="17" t="s">
        <v>147</v>
      </c>
      <c r="C387" s="18" t="s">
        <v>503</v>
      </c>
      <c r="D387" s="27" t="s">
        <v>75</v>
      </c>
      <c r="E387" s="11" t="s">
        <v>38</v>
      </c>
      <c r="F387" s="11"/>
    </row>
    <row r="388" spans="2:6" ht="30" customHeight="1" x14ac:dyDescent="0.25">
      <c r="B388" s="25" t="s">
        <v>20</v>
      </c>
      <c r="C388" s="26" t="s">
        <v>504</v>
      </c>
      <c r="D388" s="27" t="s">
        <v>75</v>
      </c>
      <c r="E388" s="28" t="s">
        <v>505</v>
      </c>
      <c r="F388" s="28"/>
    </row>
    <row r="389" spans="2:6" ht="30" customHeight="1" x14ac:dyDescent="0.25">
      <c r="B389" s="17" t="s">
        <v>173</v>
      </c>
      <c r="C389" s="18" t="s">
        <v>506</v>
      </c>
      <c r="D389" s="27" t="s">
        <v>75</v>
      </c>
      <c r="E389" s="11" t="s">
        <v>38</v>
      </c>
      <c r="F389" s="11"/>
    </row>
    <row r="390" spans="2:6" ht="30" customHeight="1" x14ac:dyDescent="0.25">
      <c r="B390" s="25" t="s">
        <v>507</v>
      </c>
      <c r="C390" s="26" t="s">
        <v>508</v>
      </c>
      <c r="D390" s="27" t="s">
        <v>75</v>
      </c>
      <c r="E390" s="28" t="s">
        <v>34</v>
      </c>
      <c r="F390" s="28"/>
    </row>
    <row r="391" spans="2:6" ht="30" customHeight="1" x14ac:dyDescent="0.25">
      <c r="B391" s="17" t="s">
        <v>196</v>
      </c>
      <c r="C391" s="18" t="s">
        <v>509</v>
      </c>
      <c r="D391" s="27" t="s">
        <v>75</v>
      </c>
      <c r="E391" s="11" t="s">
        <v>34</v>
      </c>
      <c r="F391" s="11"/>
    </row>
    <row r="392" spans="2:6" ht="30" customHeight="1" x14ac:dyDescent="0.25">
      <c r="B392" s="25" t="s">
        <v>346</v>
      </c>
      <c r="C392" s="26" t="s">
        <v>510</v>
      </c>
      <c r="D392" s="27" t="s">
        <v>75</v>
      </c>
      <c r="E392" s="28" t="s">
        <v>56</v>
      </c>
      <c r="F392" s="28"/>
    </row>
    <row r="393" spans="2:6" ht="30" customHeight="1" x14ac:dyDescent="0.25">
      <c r="B393" s="17" t="s">
        <v>511</v>
      </c>
      <c r="C393" s="18" t="s">
        <v>512</v>
      </c>
      <c r="D393" s="27" t="s">
        <v>75</v>
      </c>
      <c r="E393" s="11" t="s">
        <v>56</v>
      </c>
      <c r="F393" s="11"/>
    </row>
    <row r="394" spans="2:6" ht="30" customHeight="1" x14ac:dyDescent="0.25">
      <c r="B394" s="25" t="s">
        <v>511</v>
      </c>
      <c r="C394" s="26" t="s">
        <v>513</v>
      </c>
      <c r="D394" s="27" t="s">
        <v>75</v>
      </c>
      <c r="E394" s="28" t="s">
        <v>56</v>
      </c>
      <c r="F394" s="28"/>
    </row>
    <row r="395" spans="2:6" ht="30" customHeight="1" x14ac:dyDescent="0.25">
      <c r="B395" s="17" t="s">
        <v>279</v>
      </c>
      <c r="C395" s="18" t="s">
        <v>514</v>
      </c>
      <c r="D395" s="27" t="s">
        <v>75</v>
      </c>
      <c r="E395" s="11" t="s">
        <v>515</v>
      </c>
      <c r="F395" s="11"/>
    </row>
    <row r="396" spans="2:6" ht="30" customHeight="1" x14ac:dyDescent="0.25">
      <c r="B396" s="25" t="s">
        <v>68</v>
      </c>
      <c r="C396" s="26" t="s">
        <v>516</v>
      </c>
      <c r="D396" s="27" t="s">
        <v>75</v>
      </c>
      <c r="E396" s="28" t="s">
        <v>515</v>
      </c>
      <c r="F396" s="28"/>
    </row>
    <row r="397" spans="2:6" ht="30" customHeight="1" x14ac:dyDescent="0.25">
      <c r="B397" s="17" t="s">
        <v>342</v>
      </c>
      <c r="C397" s="18" t="s">
        <v>517</v>
      </c>
      <c r="D397" s="27" t="s">
        <v>75</v>
      </c>
      <c r="E397" s="11" t="s">
        <v>34</v>
      </c>
      <c r="F397" s="11"/>
    </row>
    <row r="398" spans="2:6" ht="30" customHeight="1" x14ac:dyDescent="0.25">
      <c r="B398" s="25" t="s">
        <v>196</v>
      </c>
      <c r="C398" s="26" t="s">
        <v>518</v>
      </c>
      <c r="D398" s="27" t="s">
        <v>75</v>
      </c>
      <c r="E398" s="28" t="s">
        <v>34</v>
      </c>
      <c r="F398" s="28"/>
    </row>
    <row r="399" spans="2:6" ht="30" customHeight="1" x14ac:dyDescent="0.25">
      <c r="B399" s="17" t="s">
        <v>66</v>
      </c>
      <c r="C399" s="18" t="s">
        <v>519</v>
      </c>
      <c r="D399" s="27" t="s">
        <v>75</v>
      </c>
      <c r="E399" s="11" t="s">
        <v>38</v>
      </c>
      <c r="F399" s="11"/>
    </row>
    <row r="400" spans="2:6" ht="30" customHeight="1" x14ac:dyDescent="0.25">
      <c r="B400" s="25" t="s">
        <v>66</v>
      </c>
      <c r="C400" s="26" t="s">
        <v>520</v>
      </c>
      <c r="D400" s="27" t="s">
        <v>75</v>
      </c>
      <c r="E400" s="28" t="s">
        <v>38</v>
      </c>
      <c r="F400" s="28"/>
    </row>
    <row r="401" spans="2:6" ht="30" customHeight="1" x14ac:dyDescent="0.25">
      <c r="B401" s="17" t="s">
        <v>89</v>
      </c>
      <c r="C401" s="18" t="s">
        <v>461</v>
      </c>
      <c r="D401" s="27" t="s">
        <v>75</v>
      </c>
      <c r="E401" s="11" t="s">
        <v>38</v>
      </c>
      <c r="F401" s="11"/>
    </row>
    <row r="402" spans="2:6" ht="30" customHeight="1" x14ac:dyDescent="0.25">
      <c r="B402" s="25" t="s">
        <v>114</v>
      </c>
      <c r="C402" s="26" t="s">
        <v>461</v>
      </c>
      <c r="D402" s="27" t="s">
        <v>75</v>
      </c>
      <c r="E402" s="28" t="s">
        <v>38</v>
      </c>
      <c r="F402" s="28"/>
    </row>
    <row r="403" spans="2:6" ht="30" customHeight="1" x14ac:dyDescent="0.25">
      <c r="B403" s="17" t="s">
        <v>21</v>
      </c>
      <c r="C403" s="18" t="s">
        <v>521</v>
      </c>
      <c r="D403" s="27" t="s">
        <v>75</v>
      </c>
      <c r="E403" s="11" t="s">
        <v>34</v>
      </c>
      <c r="F403" s="11"/>
    </row>
    <row r="404" spans="2:6" ht="30" customHeight="1" x14ac:dyDescent="0.25">
      <c r="B404" s="25" t="s">
        <v>9</v>
      </c>
      <c r="C404" s="26" t="s">
        <v>522</v>
      </c>
      <c r="D404" s="27" t="s">
        <v>75</v>
      </c>
      <c r="E404" s="28" t="s">
        <v>523</v>
      </c>
      <c r="F404" s="28"/>
    </row>
    <row r="405" spans="2:6" ht="30" customHeight="1" x14ac:dyDescent="0.25">
      <c r="B405" s="17" t="s">
        <v>10</v>
      </c>
      <c r="C405" s="18" t="s">
        <v>524</v>
      </c>
      <c r="D405" s="27" t="s">
        <v>75</v>
      </c>
      <c r="E405" s="11" t="s">
        <v>388</v>
      </c>
      <c r="F405" s="11"/>
    </row>
    <row r="406" spans="2:6" ht="30" customHeight="1" x14ac:dyDescent="0.25">
      <c r="B406" s="25" t="s">
        <v>173</v>
      </c>
      <c r="C406" s="26" t="s">
        <v>461</v>
      </c>
      <c r="D406" s="27" t="s">
        <v>75</v>
      </c>
      <c r="E406" s="28" t="s">
        <v>38</v>
      </c>
      <c r="F406" s="28"/>
    </row>
    <row r="407" spans="2:6" ht="30" customHeight="1" x14ac:dyDescent="0.25">
      <c r="B407" s="17" t="s">
        <v>147</v>
      </c>
      <c r="C407" s="18" t="s">
        <v>525</v>
      </c>
      <c r="D407" s="27" t="s">
        <v>75</v>
      </c>
      <c r="E407" s="11" t="s">
        <v>38</v>
      </c>
      <c r="F407" s="11"/>
    </row>
    <row r="408" spans="2:6" ht="30" customHeight="1" x14ac:dyDescent="0.25">
      <c r="B408" s="25" t="s">
        <v>20</v>
      </c>
      <c r="C408" s="26" t="s">
        <v>526</v>
      </c>
      <c r="D408" s="27" t="s">
        <v>75</v>
      </c>
      <c r="E408" s="28" t="s">
        <v>38</v>
      </c>
      <c r="F408" s="28"/>
    </row>
    <row r="409" spans="2:6" ht="30" customHeight="1" x14ac:dyDescent="0.25">
      <c r="B409" s="17" t="s">
        <v>527</v>
      </c>
      <c r="C409" s="18" t="s">
        <v>528</v>
      </c>
      <c r="D409" s="27" t="s">
        <v>75</v>
      </c>
      <c r="E409" s="11" t="s">
        <v>38</v>
      </c>
      <c r="F409" s="11"/>
    </row>
    <row r="410" spans="2:6" ht="30" customHeight="1" x14ac:dyDescent="0.25">
      <c r="B410" s="25" t="s">
        <v>147</v>
      </c>
      <c r="C410" s="26" t="s">
        <v>529</v>
      </c>
      <c r="D410" s="27" t="s">
        <v>75</v>
      </c>
      <c r="E410" s="28" t="s">
        <v>38</v>
      </c>
      <c r="F410" s="28"/>
    </row>
    <row r="411" spans="2:6" ht="30" customHeight="1" x14ac:dyDescent="0.25">
      <c r="B411" s="17" t="s">
        <v>67</v>
      </c>
      <c r="C411" s="18" t="s">
        <v>530</v>
      </c>
      <c r="D411" s="27" t="s">
        <v>75</v>
      </c>
      <c r="E411" s="11" t="s">
        <v>38</v>
      </c>
      <c r="F411" s="11"/>
    </row>
    <row r="412" spans="2:6" ht="30" customHeight="1" x14ac:dyDescent="0.25">
      <c r="B412" s="25" t="s">
        <v>21</v>
      </c>
      <c r="C412" s="26" t="s">
        <v>531</v>
      </c>
      <c r="D412" s="27" t="s">
        <v>75</v>
      </c>
      <c r="E412" s="28" t="s">
        <v>34</v>
      </c>
      <c r="F412" s="28"/>
    </row>
    <row r="413" spans="2:6" ht="30" customHeight="1" x14ac:dyDescent="0.25">
      <c r="B413" s="17" t="s">
        <v>21</v>
      </c>
      <c r="C413" s="18" t="s">
        <v>532</v>
      </c>
      <c r="D413" s="27" t="s">
        <v>75</v>
      </c>
      <c r="E413" s="11"/>
      <c r="F413" s="11"/>
    </row>
    <row r="414" spans="2:6" ht="30" customHeight="1" x14ac:dyDescent="0.25">
      <c r="B414" s="25" t="s">
        <v>196</v>
      </c>
      <c r="C414" s="26" t="s">
        <v>533</v>
      </c>
      <c r="D414" s="27" t="s">
        <v>75</v>
      </c>
      <c r="E414" s="28" t="s">
        <v>34</v>
      </c>
      <c r="F414" s="28"/>
    </row>
    <row r="415" spans="2:6" ht="30" customHeight="1" x14ac:dyDescent="0.25">
      <c r="B415" s="17" t="s">
        <v>196</v>
      </c>
      <c r="C415" s="18" t="s">
        <v>534</v>
      </c>
      <c r="D415" s="27" t="s">
        <v>75</v>
      </c>
      <c r="E415" s="11"/>
      <c r="F415" s="11"/>
    </row>
    <row r="416" spans="2:6" ht="30" customHeight="1" x14ac:dyDescent="0.25">
      <c r="B416" s="25" t="s">
        <v>13</v>
      </c>
      <c r="C416" s="26" t="s">
        <v>535</v>
      </c>
      <c r="D416" s="27" t="s">
        <v>75</v>
      </c>
      <c r="E416" s="28" t="s">
        <v>65</v>
      </c>
      <c r="F416" s="28"/>
    </row>
    <row r="417" spans="2:6" ht="30" customHeight="1" x14ac:dyDescent="0.25">
      <c r="B417" s="17" t="s">
        <v>13</v>
      </c>
      <c r="C417" s="18" t="s">
        <v>536</v>
      </c>
      <c r="D417" s="27" t="s">
        <v>75</v>
      </c>
      <c r="E417" s="11"/>
      <c r="F417" s="11"/>
    </row>
    <row r="418" spans="2:6" ht="30" customHeight="1" x14ac:dyDescent="0.25">
      <c r="B418" s="25" t="s">
        <v>13</v>
      </c>
      <c r="C418" s="26" t="s">
        <v>537</v>
      </c>
      <c r="D418" s="27" t="s">
        <v>75</v>
      </c>
      <c r="E418" s="28"/>
      <c r="F418" s="28"/>
    </row>
    <row r="419" spans="2:6" ht="30" customHeight="1" x14ac:dyDescent="0.25">
      <c r="B419" s="17" t="s">
        <v>456</v>
      </c>
      <c r="C419" s="18" t="s">
        <v>538</v>
      </c>
      <c r="D419" s="27" t="s">
        <v>75</v>
      </c>
      <c r="E419" s="11" t="s">
        <v>46</v>
      </c>
      <c r="F419" s="11"/>
    </row>
    <row r="420" spans="2:6" ht="30" customHeight="1" x14ac:dyDescent="0.25">
      <c r="B420" s="25" t="s">
        <v>456</v>
      </c>
      <c r="C420" s="26" t="s">
        <v>539</v>
      </c>
      <c r="D420" s="27" t="s">
        <v>75</v>
      </c>
      <c r="E420" s="28" t="s">
        <v>46</v>
      </c>
      <c r="F420" s="28"/>
    </row>
    <row r="421" spans="2:6" ht="30" customHeight="1" x14ac:dyDescent="0.25">
      <c r="B421" s="17" t="s">
        <v>456</v>
      </c>
      <c r="C421" s="18" t="s">
        <v>540</v>
      </c>
      <c r="D421" s="27" t="s">
        <v>75</v>
      </c>
      <c r="E421" s="11" t="s">
        <v>46</v>
      </c>
      <c r="F421" s="11"/>
    </row>
    <row r="422" spans="2:6" ht="30" customHeight="1" x14ac:dyDescent="0.25">
      <c r="B422" s="25" t="s">
        <v>541</v>
      </c>
      <c r="C422" s="26" t="s">
        <v>542</v>
      </c>
      <c r="D422" s="27" t="s">
        <v>75</v>
      </c>
      <c r="E422" s="28"/>
      <c r="F422" s="28"/>
    </row>
    <row r="423" spans="2:6" ht="30" customHeight="1" x14ac:dyDescent="0.25">
      <c r="B423" s="17" t="s">
        <v>14</v>
      </c>
      <c r="C423" s="18" t="s">
        <v>543</v>
      </c>
      <c r="D423" s="27" t="s">
        <v>75</v>
      </c>
      <c r="E423" s="11"/>
      <c r="F423" s="12"/>
    </row>
    <row r="424" spans="2:6" ht="30" customHeight="1" x14ac:dyDescent="0.25">
      <c r="B424" s="25" t="s">
        <v>14</v>
      </c>
      <c r="C424" s="26" t="s">
        <v>544</v>
      </c>
      <c r="D424" s="27" t="s">
        <v>75</v>
      </c>
      <c r="E424" s="28"/>
      <c r="F424" s="28"/>
    </row>
    <row r="425" spans="2:6" ht="30" customHeight="1" x14ac:dyDescent="0.25">
      <c r="B425" s="17" t="s">
        <v>545</v>
      </c>
      <c r="C425" s="18" t="s">
        <v>546</v>
      </c>
      <c r="D425" s="27" t="s">
        <v>75</v>
      </c>
      <c r="E425" s="11"/>
      <c r="F425" s="11"/>
    </row>
    <row r="426" spans="2:6" ht="30" customHeight="1" x14ac:dyDescent="0.25">
      <c r="B426" s="25" t="s">
        <v>20</v>
      </c>
      <c r="C426" s="26" t="s">
        <v>547</v>
      </c>
      <c r="D426" s="27" t="s">
        <v>75</v>
      </c>
      <c r="E426" s="28"/>
      <c r="F426" s="28"/>
    </row>
    <row r="427" spans="2:6" ht="30" customHeight="1" x14ac:dyDescent="0.25">
      <c r="B427" s="17" t="s">
        <v>20</v>
      </c>
      <c r="C427" s="18" t="s">
        <v>548</v>
      </c>
      <c r="D427" s="27" t="s">
        <v>75</v>
      </c>
      <c r="E427" s="11"/>
      <c r="F427" s="11"/>
    </row>
    <row r="428" spans="2:6" ht="30" customHeight="1" x14ac:dyDescent="0.25">
      <c r="B428" s="25" t="s">
        <v>20</v>
      </c>
      <c r="C428" s="26" t="s">
        <v>549</v>
      </c>
      <c r="D428" s="27" t="s">
        <v>75</v>
      </c>
      <c r="E428" s="28" t="s">
        <v>75</v>
      </c>
      <c r="F428" s="28"/>
    </row>
    <row r="429" spans="2:6" ht="30" customHeight="1" x14ac:dyDescent="0.25">
      <c r="B429" s="17" t="s">
        <v>550</v>
      </c>
      <c r="C429" s="18" t="s">
        <v>543</v>
      </c>
      <c r="D429" s="27" t="s">
        <v>75</v>
      </c>
      <c r="E429" s="11" t="s">
        <v>75</v>
      </c>
      <c r="F429" s="11"/>
    </row>
    <row r="430" spans="2:6" ht="30" customHeight="1" x14ac:dyDescent="0.25">
      <c r="B430" s="25" t="s">
        <v>89</v>
      </c>
      <c r="C430" s="26" t="s">
        <v>551</v>
      </c>
      <c r="D430" s="27" t="s">
        <v>75</v>
      </c>
      <c r="E430" s="28" t="s">
        <v>38</v>
      </c>
      <c r="F430" s="29"/>
    </row>
    <row r="431" spans="2:6" x14ac:dyDescent="0.25">
      <c r="B431" s="25" t="s">
        <v>15</v>
      </c>
      <c r="C431" s="26" t="s">
        <v>45</v>
      </c>
      <c r="D431" s="27" t="s">
        <v>75</v>
      </c>
      <c r="E431" s="28" t="s">
        <v>46</v>
      </c>
      <c r="F431" s="29" t="s">
        <v>552</v>
      </c>
    </row>
    <row r="432" spans="2:6" x14ac:dyDescent="0.25">
      <c r="B432" s="25" t="s">
        <v>66</v>
      </c>
      <c r="C432" s="26" t="s">
        <v>555</v>
      </c>
      <c r="D432" s="27" t="s">
        <v>75</v>
      </c>
      <c r="E432" s="28" t="s">
        <v>38</v>
      </c>
      <c r="F432" s="29" t="s">
        <v>556</v>
      </c>
    </row>
    <row r="433" spans="2:6" x14ac:dyDescent="0.25">
      <c r="B433" s="25" t="s">
        <v>169</v>
      </c>
      <c r="C433" s="26" t="s">
        <v>567</v>
      </c>
      <c r="D433" s="27" t="s">
        <v>75</v>
      </c>
      <c r="E433" s="28" t="s">
        <v>56</v>
      </c>
      <c r="F433" s="29" t="s">
        <v>571</v>
      </c>
    </row>
    <row r="434" spans="2:6" x14ac:dyDescent="0.25">
      <c r="B434" s="25" t="s">
        <v>553</v>
      </c>
      <c r="C434" s="26" t="s">
        <v>554</v>
      </c>
      <c r="D434" s="27" t="s">
        <v>75</v>
      </c>
      <c r="E434" s="28" t="s">
        <v>38</v>
      </c>
      <c r="F434" s="29" t="s">
        <v>572</v>
      </c>
    </row>
    <row r="435" spans="2:6" x14ac:dyDescent="0.25">
      <c r="B435" s="25" t="s">
        <v>573</v>
      </c>
      <c r="C435" s="26" t="s">
        <v>574</v>
      </c>
      <c r="D435" s="27" t="s">
        <v>75</v>
      </c>
      <c r="E435" s="28" t="s">
        <v>38</v>
      </c>
      <c r="F435" s="29" t="s">
        <v>571</v>
      </c>
    </row>
    <row r="436" spans="2:6" x14ac:dyDescent="0.25">
      <c r="B436" s="25" t="s">
        <v>545</v>
      </c>
      <c r="C436" s="26" t="s">
        <v>575</v>
      </c>
      <c r="D436" s="27" t="s">
        <v>75</v>
      </c>
      <c r="E436" s="28" t="s">
        <v>38</v>
      </c>
      <c r="F436" s="29" t="s">
        <v>571</v>
      </c>
    </row>
    <row r="437" spans="2:6" x14ac:dyDescent="0.25">
      <c r="B437" s="25" t="s">
        <v>14</v>
      </c>
      <c r="C437" s="26" t="s">
        <v>36</v>
      </c>
      <c r="D437" s="27" t="s">
        <v>75</v>
      </c>
      <c r="E437" s="28" t="s">
        <v>38</v>
      </c>
      <c r="F437" s="29" t="s">
        <v>576</v>
      </c>
    </row>
    <row r="438" spans="2:6" x14ac:dyDescent="0.25">
      <c r="B438" s="25" t="s">
        <v>16</v>
      </c>
      <c r="C438" s="26" t="s">
        <v>44</v>
      </c>
      <c r="D438" s="27" t="s">
        <v>75</v>
      </c>
      <c r="E438" s="28" t="s">
        <v>34</v>
      </c>
      <c r="F438" s="29" t="s">
        <v>576</v>
      </c>
    </row>
    <row r="439" spans="2:6" x14ac:dyDescent="0.25">
      <c r="B439" s="25" t="s">
        <v>12</v>
      </c>
      <c r="C439" s="26" t="s">
        <v>577</v>
      </c>
      <c r="D439" s="27" t="s">
        <v>75</v>
      </c>
      <c r="E439" s="28" t="s">
        <v>34</v>
      </c>
      <c r="F439" s="29" t="s">
        <v>578</v>
      </c>
    </row>
    <row r="440" spans="2:6" x14ac:dyDescent="0.25">
      <c r="B440" s="25" t="s">
        <v>579</v>
      </c>
      <c r="C440" s="26" t="s">
        <v>44</v>
      </c>
      <c r="D440" s="27" t="s">
        <v>580</v>
      </c>
      <c r="E440" s="28" t="s">
        <v>46</v>
      </c>
      <c r="F440" s="29" t="s">
        <v>578</v>
      </c>
    </row>
    <row r="441" spans="2:6" x14ac:dyDescent="0.25">
      <c r="B441" s="25" t="s">
        <v>10</v>
      </c>
      <c r="C441" s="26" t="s">
        <v>44</v>
      </c>
      <c r="D441" s="27" t="s">
        <v>75</v>
      </c>
      <c r="E441" s="28" t="s">
        <v>581</v>
      </c>
      <c r="F441" s="29" t="s">
        <v>578</v>
      </c>
    </row>
    <row r="442" spans="2:6" ht="24" x14ac:dyDescent="0.25">
      <c r="B442" s="25" t="s">
        <v>157</v>
      </c>
      <c r="C442" s="26" t="s">
        <v>557</v>
      </c>
      <c r="D442" s="27" t="s">
        <v>75</v>
      </c>
      <c r="E442" s="28" t="s">
        <v>38</v>
      </c>
      <c r="F442" s="29" t="s">
        <v>582</v>
      </c>
    </row>
    <row r="443" spans="2:6" x14ac:dyDescent="0.25">
      <c r="B443" s="25" t="s">
        <v>545</v>
      </c>
      <c r="C443" s="26" t="s">
        <v>577</v>
      </c>
      <c r="D443" s="27" t="s">
        <v>75</v>
      </c>
      <c r="E443" s="28" t="s">
        <v>46</v>
      </c>
      <c r="F443" s="29" t="s">
        <v>582</v>
      </c>
    </row>
    <row r="444" spans="2:6" x14ac:dyDescent="0.25">
      <c r="B444" s="25" t="s">
        <v>147</v>
      </c>
      <c r="C444" s="26" t="s">
        <v>584</v>
      </c>
      <c r="D444" s="27" t="s">
        <v>75</v>
      </c>
      <c r="E444" s="28" t="s">
        <v>585</v>
      </c>
      <c r="F444" s="29" t="s">
        <v>586</v>
      </c>
    </row>
    <row r="445" spans="2:6" x14ac:dyDescent="0.25">
      <c r="B445" s="25" t="s">
        <v>398</v>
      </c>
      <c r="C445" s="26" t="s">
        <v>595</v>
      </c>
      <c r="D445" s="27" t="s">
        <v>75</v>
      </c>
      <c r="E445" s="28" t="s">
        <v>56</v>
      </c>
      <c r="F445" s="29" t="s">
        <v>596</v>
      </c>
    </row>
    <row r="446" spans="2:6" x14ac:dyDescent="0.25">
      <c r="B446" s="25" t="s">
        <v>398</v>
      </c>
      <c r="C446" s="26" t="s">
        <v>597</v>
      </c>
      <c r="D446" s="33" t="s">
        <v>598</v>
      </c>
      <c r="E446" s="28" t="s">
        <v>56</v>
      </c>
      <c r="F446" s="29" t="s">
        <v>596</v>
      </c>
    </row>
    <row r="447" spans="2:6" x14ac:dyDescent="0.25">
      <c r="B447" s="34" t="s">
        <v>147</v>
      </c>
      <c r="C447" s="35" t="s">
        <v>600</v>
      </c>
      <c r="D447" s="36" t="s">
        <v>75</v>
      </c>
      <c r="E447" s="37" t="s">
        <v>38</v>
      </c>
      <c r="F447" s="38" t="s">
        <v>601</v>
      </c>
    </row>
    <row r="448" spans="2:6" ht="24" x14ac:dyDescent="0.25">
      <c r="B448" s="34" t="s">
        <v>188</v>
      </c>
      <c r="C448" s="35" t="s">
        <v>605</v>
      </c>
      <c r="D448" s="36" t="s">
        <v>75</v>
      </c>
      <c r="E448" s="37" t="s">
        <v>606</v>
      </c>
      <c r="F448" s="38" t="s">
        <v>607</v>
      </c>
    </row>
    <row r="449" spans="2:6" x14ac:dyDescent="0.25">
      <c r="B449" s="34" t="s">
        <v>279</v>
      </c>
      <c r="C449" s="35" t="s">
        <v>621</v>
      </c>
      <c r="D449" s="36" t="s">
        <v>580</v>
      </c>
      <c r="E449" s="37" t="s">
        <v>623</v>
      </c>
      <c r="F449" s="38" t="s">
        <v>622</v>
      </c>
    </row>
    <row r="450" spans="2:6" x14ac:dyDescent="0.25">
      <c r="B450" s="34" t="s">
        <v>68</v>
      </c>
      <c r="C450" s="35" t="s">
        <v>621</v>
      </c>
      <c r="D450" s="36" t="s">
        <v>75</v>
      </c>
      <c r="E450" s="37" t="s">
        <v>623</v>
      </c>
      <c r="F450" s="38" t="s">
        <v>622</v>
      </c>
    </row>
    <row r="451" spans="2:6" x14ac:dyDescent="0.25">
      <c r="B451" s="34" t="s">
        <v>114</v>
      </c>
      <c r="C451" s="35" t="s">
        <v>624</v>
      </c>
      <c r="D451" s="36" t="s">
        <v>75</v>
      </c>
      <c r="E451" s="37" t="s">
        <v>623</v>
      </c>
      <c r="F451" s="38" t="s">
        <v>622</v>
      </c>
    </row>
    <row r="452" spans="2:6" ht="36" x14ac:dyDescent="0.25">
      <c r="B452" s="34" t="s">
        <v>8</v>
      </c>
      <c r="C452" s="35" t="s">
        <v>627</v>
      </c>
      <c r="D452" s="36" t="s">
        <v>75</v>
      </c>
      <c r="E452" s="37" t="s">
        <v>56</v>
      </c>
      <c r="F452" s="38" t="s">
        <v>628</v>
      </c>
    </row>
    <row r="453" spans="2:6" x14ac:dyDescent="0.25">
      <c r="B453" s="34" t="s">
        <v>629</v>
      </c>
      <c r="C453" s="35" t="s">
        <v>461</v>
      </c>
      <c r="D453" s="36" t="s">
        <v>75</v>
      </c>
      <c r="E453" s="37" t="s">
        <v>56</v>
      </c>
      <c r="F453" s="38" t="s">
        <v>630</v>
      </c>
    </row>
    <row r="454" spans="2:6" x14ac:dyDescent="0.25">
      <c r="B454" s="34" t="s">
        <v>631</v>
      </c>
      <c r="C454" s="35" t="s">
        <v>461</v>
      </c>
      <c r="D454" s="36" t="s">
        <v>75</v>
      </c>
      <c r="E454" s="37" t="s">
        <v>56</v>
      </c>
      <c r="F454" s="38" t="s">
        <v>632</v>
      </c>
    </row>
    <row r="455" spans="2:6" ht="24" x14ac:dyDescent="0.25">
      <c r="B455" s="34" t="s">
        <v>89</v>
      </c>
      <c r="C455" s="35" t="s">
        <v>633</v>
      </c>
      <c r="D455" s="36" t="s">
        <v>75</v>
      </c>
      <c r="E455" s="37" t="s">
        <v>38</v>
      </c>
      <c r="F455" s="38" t="s">
        <v>630</v>
      </c>
    </row>
  </sheetData>
  <mergeCells count="1">
    <mergeCell ref="B1:F1"/>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SUMMARY</vt:lpstr>
      <vt:lpstr>📋 CLIENT ACTION ITEMS</vt:lpstr>
      <vt:lpstr>✅ COMPLETED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Edwin Tome</cp:lastModifiedBy>
  <cp:revision>0</cp:revision>
  <dcterms:created xsi:type="dcterms:W3CDTF">2026-03-13T14:00:31Z</dcterms:created>
  <dcterms:modified xsi:type="dcterms:W3CDTF">2026-05-17T19:00:39Z</dcterms:modified>
  <dc:language>en-US</dc:language>
</cp:coreProperties>
</file>