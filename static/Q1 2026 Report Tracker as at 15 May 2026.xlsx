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dwin\Downloads\"/>
    </mc:Choice>
  </mc:AlternateContent>
  <xr:revisionPtr revIDLastSave="0" documentId="13_ncr:1_{2D3B4BCD-6DF9-4B18-A99A-C2208F8DB31F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Report Tracker" sheetId="1" r:id="rId1"/>
    <sheet name="Dashboard" sheetId="2" r:id="rId2"/>
    <sheet name="By Operatio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4" i="2" l="1"/>
  <c r="G23" i="2"/>
  <c r="G22" i="2"/>
  <c r="G21" i="2"/>
  <c r="G20" i="2"/>
  <c r="G19" i="2"/>
  <c r="G18" i="2"/>
  <c r="F20" i="2"/>
  <c r="E20" i="2"/>
  <c r="H60" i="1"/>
  <c r="M21" i="2"/>
  <c r="D20" i="2"/>
  <c r="C20" i="2" l="1"/>
  <c r="C23" i="2"/>
  <c r="C21" i="2"/>
  <c r="E21" i="2"/>
  <c r="H37" i="1"/>
  <c r="H46" i="3" s="1"/>
  <c r="H58" i="1"/>
  <c r="H75" i="3" s="1"/>
  <c r="H59" i="1"/>
  <c r="H76" i="3" s="1"/>
  <c r="H69" i="1"/>
  <c r="H90" i="3" s="1"/>
  <c r="H70" i="1"/>
  <c r="H91" i="3" s="1"/>
  <c r="H26" i="1"/>
  <c r="H31" i="3" s="1"/>
  <c r="H27" i="1"/>
  <c r="H32" i="3" s="1"/>
  <c r="H39" i="1"/>
  <c r="H48" i="3" s="1"/>
  <c r="H40" i="1"/>
  <c r="H49" i="3" s="1"/>
  <c r="H49" i="1"/>
  <c r="H62" i="3" s="1"/>
  <c r="H50" i="1"/>
  <c r="H63" i="3" s="1"/>
  <c r="F13" i="2" l="1"/>
  <c r="G13" i="2" s="1"/>
  <c r="E13" i="2"/>
  <c r="D13" i="2"/>
  <c r="C13" i="2"/>
  <c r="F12" i="2"/>
  <c r="E12" i="2"/>
  <c r="D12" i="2"/>
  <c r="C12" i="2"/>
  <c r="F11" i="2"/>
  <c r="E11" i="2"/>
  <c r="D11" i="2"/>
  <c r="C11" i="2"/>
  <c r="F10" i="2"/>
  <c r="E10" i="2"/>
  <c r="D10" i="2"/>
  <c r="C10" i="2"/>
  <c r="H78" i="1"/>
  <c r="H99" i="3" s="1"/>
  <c r="H77" i="1"/>
  <c r="H98" i="3" s="1"/>
  <c r="H76" i="1"/>
  <c r="H97" i="3" s="1"/>
  <c r="H75" i="1"/>
  <c r="H96" i="3" s="1"/>
  <c r="H74" i="1"/>
  <c r="H95" i="3" s="1"/>
  <c r="H73" i="1"/>
  <c r="H94" i="3" s="1"/>
  <c r="H72" i="1"/>
  <c r="H93" i="3" s="1"/>
  <c r="H71" i="1"/>
  <c r="H92" i="3" s="1"/>
  <c r="H68" i="1"/>
  <c r="H89" i="3" s="1"/>
  <c r="H67" i="1"/>
  <c r="H88" i="3" s="1"/>
  <c r="H66" i="1"/>
  <c r="H87" i="3" s="1"/>
  <c r="H65" i="1"/>
  <c r="H82" i="3" s="1"/>
  <c r="H64" i="1"/>
  <c r="H81" i="3" s="1"/>
  <c r="H63" i="1"/>
  <c r="H80" i="3" s="1"/>
  <c r="H62" i="1"/>
  <c r="H79" i="3" s="1"/>
  <c r="H61" i="1"/>
  <c r="H78" i="3" s="1"/>
  <c r="H77" i="3"/>
  <c r="H57" i="1"/>
  <c r="H74" i="3" s="1"/>
  <c r="H56" i="1"/>
  <c r="H73" i="3" s="1"/>
  <c r="H55" i="1"/>
  <c r="H72" i="3" s="1"/>
  <c r="H54" i="1"/>
  <c r="H71" i="3" s="1"/>
  <c r="H53" i="1"/>
  <c r="H70" i="3" s="1"/>
  <c r="H52" i="1"/>
  <c r="H65" i="3" s="1"/>
  <c r="H51" i="1"/>
  <c r="H64" i="3" s="1"/>
  <c r="H48" i="1"/>
  <c r="H61" i="3" s="1"/>
  <c r="H47" i="1"/>
  <c r="H60" i="3" s="1"/>
  <c r="H46" i="1"/>
  <c r="H59" i="3" s="1"/>
  <c r="H45" i="1"/>
  <c r="H58" i="3" s="1"/>
  <c r="H44" i="1"/>
  <c r="H57" i="3" s="1"/>
  <c r="H43" i="1"/>
  <c r="H56" i="3" s="1"/>
  <c r="H42" i="1"/>
  <c r="H55" i="3" s="1"/>
  <c r="H41" i="1"/>
  <c r="H50" i="3" s="1"/>
  <c r="H38" i="1"/>
  <c r="H47" i="3" s="1"/>
  <c r="H36" i="1"/>
  <c r="H45" i="3" s="1"/>
  <c r="H35" i="1"/>
  <c r="H44" i="3" s="1"/>
  <c r="H34" i="1"/>
  <c r="H43" i="3" s="1"/>
  <c r="H33" i="1"/>
  <c r="H42" i="3" s="1"/>
  <c r="H32" i="1"/>
  <c r="H41" i="3" s="1"/>
  <c r="H31" i="1"/>
  <c r="H40" i="3" s="1"/>
  <c r="H30" i="1"/>
  <c r="H39" i="3" s="1"/>
  <c r="H29" i="1"/>
  <c r="H34" i="3" s="1"/>
  <c r="H28" i="1"/>
  <c r="H33" i="3" s="1"/>
  <c r="H25" i="1"/>
  <c r="H30" i="3" s="1"/>
  <c r="H24" i="1"/>
  <c r="H29" i="3" s="1"/>
  <c r="H23" i="1"/>
  <c r="H28" i="3" s="1"/>
  <c r="H22" i="1"/>
  <c r="H27" i="3" s="1"/>
  <c r="H21" i="1"/>
  <c r="H26" i="3" s="1"/>
  <c r="H20" i="1"/>
  <c r="H25" i="3" s="1"/>
  <c r="H19" i="1"/>
  <c r="H24" i="3" s="1"/>
  <c r="H18" i="1"/>
  <c r="H23" i="3" s="1"/>
  <c r="H17" i="1"/>
  <c r="H18" i="3" s="1"/>
  <c r="H16" i="1"/>
  <c r="H17" i="3" s="1"/>
  <c r="H15" i="1"/>
  <c r="H16" i="3" s="1"/>
  <c r="H14" i="1"/>
  <c r="H15" i="3" s="1"/>
  <c r="H13" i="1"/>
  <c r="H14" i="3" s="1"/>
  <c r="H12" i="1"/>
  <c r="H13" i="3" s="1"/>
  <c r="H11" i="1"/>
  <c r="H12" i="3" s="1"/>
  <c r="H10" i="1"/>
  <c r="H11" i="3" s="1"/>
  <c r="H9" i="1"/>
  <c r="H10" i="3" s="1"/>
  <c r="H8" i="1"/>
  <c r="H9" i="3" s="1"/>
  <c r="H7" i="1"/>
  <c r="H8" i="3" s="1"/>
  <c r="H6" i="1"/>
  <c r="H7" i="3" s="1"/>
  <c r="H5" i="1"/>
  <c r="H6" i="3" s="1"/>
  <c r="F4" i="1"/>
  <c r="E4" i="1"/>
  <c r="D6" i="2" s="1"/>
  <c r="D4" i="1"/>
  <c r="C6" i="2" s="1"/>
  <c r="C4" i="1"/>
  <c r="E23" i="2" s="1"/>
  <c r="D18" i="2" l="1"/>
  <c r="C19" i="2"/>
  <c r="D19" i="2"/>
  <c r="G6" i="2"/>
  <c r="D21" i="2"/>
  <c r="F21" i="2"/>
  <c r="B6" i="2"/>
  <c r="F23" i="2"/>
  <c r="G11" i="2"/>
  <c r="F14" i="2"/>
  <c r="G12" i="2"/>
  <c r="G10" i="2"/>
  <c r="E14" i="2"/>
  <c r="D14" i="2"/>
  <c r="C14" i="2"/>
  <c r="E19" i="2"/>
  <c r="E6" i="2"/>
  <c r="F19" i="2"/>
  <c r="C22" i="2"/>
  <c r="F6" i="2"/>
  <c r="D22" i="2"/>
  <c r="E22" i="2"/>
  <c r="F22" i="2"/>
  <c r="C18" i="2"/>
  <c r="E18" i="2"/>
  <c r="D23" i="2"/>
  <c r="F18" i="2"/>
  <c r="D24" i="2" l="1"/>
  <c r="G14" i="2"/>
  <c r="C24" i="2"/>
  <c r="F24" i="2"/>
  <c r="E24" i="2"/>
</calcChain>
</file>

<file path=xl/sharedStrings.xml><?xml version="1.0" encoding="utf-8"?>
<sst xmlns="http://schemas.openxmlformats.org/spreadsheetml/2006/main" count="776" uniqueCount="139">
  <si>
    <t>Client Name</t>
  </si>
  <si>
    <t>CRM</t>
  </si>
  <si>
    <t>Operations</t>
  </si>
  <si>
    <t>Submitted</t>
  </si>
  <si>
    <t>Reviewed</t>
  </si>
  <si>
    <t>Sent to Client</t>
  </si>
  <si>
    <t>Due Date</t>
  </si>
  <si>
    <t>Status</t>
  </si>
  <si>
    <t>MCAZ</t>
  </si>
  <si>
    <t>Tapiwa</t>
  </si>
  <si>
    <t>Anotida</t>
  </si>
  <si>
    <t>✓</t>
  </si>
  <si>
    <t>St Johns</t>
  </si>
  <si>
    <t>Tari</t>
  </si>
  <si>
    <t>Mashonaland Tobacco Company</t>
  </si>
  <si>
    <t>The Joseph Pension Fund</t>
  </si>
  <si>
    <t>AGS</t>
  </si>
  <si>
    <t>Triangle Senior Staff</t>
  </si>
  <si>
    <t>Sandvik Pension Fund</t>
  </si>
  <si>
    <t>United Refineries</t>
  </si>
  <si>
    <t>Tatenda</t>
  </si>
  <si>
    <t>Larfarge PF (Actives)</t>
  </si>
  <si>
    <t>Larfarge PF (Pensioners)</t>
  </si>
  <si>
    <t>Mimosa Corporate Funds</t>
  </si>
  <si>
    <t>Tino</t>
  </si>
  <si>
    <t>Zimnat Funds</t>
  </si>
  <si>
    <t>Whitestone School Trust PF</t>
  </si>
  <si>
    <t>Marsh Employees PF</t>
  </si>
  <si>
    <t>Arnold</t>
  </si>
  <si>
    <t>Zimnat Group Staff PF</t>
  </si>
  <si>
    <t>Falcon College PF</t>
  </si>
  <si>
    <t>Girls College</t>
  </si>
  <si>
    <t>Masiyephambili Schools Trust PF</t>
  </si>
  <si>
    <t>Minerva Provident</t>
  </si>
  <si>
    <t>Minerva Risk Advisors</t>
  </si>
  <si>
    <t>Minerva Umbrella Fund</t>
  </si>
  <si>
    <t>Edgars Actives PF</t>
  </si>
  <si>
    <t>Edgars Pensioners PF</t>
  </si>
  <si>
    <t>TIMB Pension Fund</t>
  </si>
  <si>
    <t>PSMAS</t>
  </si>
  <si>
    <t>Petrotrade Pension Fund</t>
  </si>
  <si>
    <t>Econet</t>
  </si>
  <si>
    <t>Telecel</t>
  </si>
  <si>
    <t>Seedco</t>
  </si>
  <si>
    <t>CIPF</t>
  </si>
  <si>
    <t>TRB</t>
  </si>
  <si>
    <t>Zimplow</t>
  </si>
  <si>
    <t>Unicem PF (Pensioners)</t>
  </si>
  <si>
    <t>Unicem PF (Actives)</t>
  </si>
  <si>
    <t>EY Pension Fund</t>
  </si>
  <si>
    <t>Elizabeth</t>
  </si>
  <si>
    <t>Zimsec Pension Fund</t>
  </si>
  <si>
    <t>Zambezi River Authority</t>
  </si>
  <si>
    <t>NBS</t>
  </si>
  <si>
    <t>Goldridge</t>
  </si>
  <si>
    <t>Unilever Zimbabwe PF</t>
  </si>
  <si>
    <t>ABC</t>
  </si>
  <si>
    <t>BPB Gypsum / Saint Gobain</t>
  </si>
  <si>
    <t>Zimasco Pension Fund</t>
  </si>
  <si>
    <t>Getbucks</t>
  </si>
  <si>
    <t>Elvis</t>
  </si>
  <si>
    <t>Allied Timbers</t>
  </si>
  <si>
    <t>Brands Africa</t>
  </si>
  <si>
    <t>Stanchart Pension Fund</t>
  </si>
  <si>
    <t>Freda Rebecca</t>
  </si>
  <si>
    <t>IDBZ</t>
  </si>
  <si>
    <t>Astra Industries PF</t>
  </si>
  <si>
    <t>Shamwa Gold Mine</t>
  </si>
  <si>
    <t>Datlabs Pension Fund</t>
  </si>
  <si>
    <t>Haggie Rand PF</t>
  </si>
  <si>
    <t>Godfrey</t>
  </si>
  <si>
    <t>Investor Protection Fund - Risk</t>
  </si>
  <si>
    <t>Investor Protection Fund - Investments</t>
  </si>
  <si>
    <t>FCB PF (formerly Barclays PF)</t>
  </si>
  <si>
    <t>Simbisa</t>
  </si>
  <si>
    <t>Nestle</t>
  </si>
  <si>
    <t>NOIC Pension Fund</t>
  </si>
  <si>
    <t>CAAZ</t>
  </si>
  <si>
    <t>Innscor Pension Fund</t>
  </si>
  <si>
    <t>Fintrust - Risk</t>
  </si>
  <si>
    <t>Shangani Holistic</t>
  </si>
  <si>
    <t>Dairibord</t>
  </si>
  <si>
    <t>Stanbic</t>
  </si>
  <si>
    <t>Vivo Energy</t>
  </si>
  <si>
    <t>Mimosa Mining PF</t>
  </si>
  <si>
    <t>NSSA</t>
  </si>
  <si>
    <t>Hippo</t>
  </si>
  <si>
    <t>Triangle PF - The Money Plan</t>
  </si>
  <si>
    <t>FBC</t>
  </si>
  <si>
    <t>BOC Pension Fund</t>
  </si>
  <si>
    <t>Minerva Copvol PF</t>
  </si>
  <si>
    <t>Minerva Income Withdrawal Fund</t>
  </si>
  <si>
    <t>STATUS:  Complete = all 3 steps done  ·  Submitted = sent to CRM, not yet reviewed  ·  Reviewed = reviewed, not yet sent  ·  Pending = not started</t>
  </si>
  <si>
    <t>Total Clients</t>
  </si>
  <si>
    <t>Completion Rate</t>
  </si>
  <si>
    <t>Outstanding</t>
  </si>
  <si>
    <t xml:space="preserve">  PROGRESS BY CRM CONSULTANT</t>
  </si>
  <si>
    <t>Clients</t>
  </si>
  <si>
    <t>Sent</t>
  </si>
  <si>
    <t>% Done</t>
  </si>
  <si>
    <t>TOTAL</t>
  </si>
  <si>
    <t xml:space="preserve">  PROGRESS BY OPERATIONS STAFF</t>
  </si>
  <si>
    <t>Client</t>
  </si>
  <si>
    <t xml:space="preserve">  ANOTIDA  —  13 clients</t>
  </si>
  <si>
    <t>#</t>
  </si>
  <si>
    <t>Due</t>
  </si>
  <si>
    <t>IPS  Training Workshop Needed</t>
  </si>
  <si>
    <t>INTELLEGO INVESTMENT CONSULTANTS  ·  Q1 2026 REPORT TRACKER</t>
  </si>
  <si>
    <t>KEY</t>
  </si>
  <si>
    <t>17/04/26</t>
  </si>
  <si>
    <t>20/04/26</t>
  </si>
  <si>
    <t>30/04/26</t>
  </si>
  <si>
    <t>21/04/26</t>
  </si>
  <si>
    <t>24/04/26</t>
  </si>
  <si>
    <t>26/04/26</t>
  </si>
  <si>
    <t>22/04/26</t>
  </si>
  <si>
    <t>23/04/26</t>
  </si>
  <si>
    <t>27/04/26</t>
  </si>
  <si>
    <t>28/04/26</t>
  </si>
  <si>
    <t>29/04/26</t>
  </si>
  <si>
    <t>25/04/26</t>
  </si>
  <si>
    <t>17/04/25</t>
  </si>
  <si>
    <t>30/4/2026</t>
  </si>
  <si>
    <t>William</t>
  </si>
  <si>
    <t xml:space="preserve">  ARNOLD  —  12 clients</t>
  </si>
  <si>
    <t>Tino/Edwin</t>
  </si>
  <si>
    <t xml:space="preserve">  WILLIAM  —  13 clients</t>
  </si>
  <si>
    <t xml:space="preserve">  GODFREY  —  13 clients</t>
  </si>
  <si>
    <t xml:space="preserve">  ELVIS  —  11 clients</t>
  </si>
  <si>
    <t xml:space="preserve">  ELIZABETH  —  12 clients</t>
  </si>
  <si>
    <t>INTELLEGO INVESTMENT CONSULTANTS  ·           Q1 2026 DASHBOARD</t>
  </si>
  <si>
    <t xml:space="preserve">  Arnold: 0/12 complete  (0%)</t>
  </si>
  <si>
    <t xml:space="preserve">  Elizabeth: 0/12 complete  (0%)</t>
  </si>
  <si>
    <t xml:space="preserve">  William: 0/13 complete  (0%)</t>
  </si>
  <si>
    <t xml:space="preserve">  Godfrey: 0/13 complete  (0%)</t>
  </si>
  <si>
    <t xml:space="preserve">  Elvis: 0/11 complete  (0%)</t>
  </si>
  <si>
    <t xml:space="preserve">  Anotida: 0/13 complete  (0%)</t>
  </si>
  <si>
    <t>INTELLEGO  ·  Q1 2026 REPORTS — VIEW BY OPERATIONS STAFF</t>
  </si>
  <si>
    <t xml:space="preserve">  Q4 2025 INVESTMENT REPORT PROGRESS  ·  Last Updated: 15 May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</si>
</sst>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0"/>
      <color rgb="FFFFFFFF"/>
      <name val="Arial"/>
      <charset val="1"/>
    </font>
    <font>
      <sz val="1"/>
      <color rgb="FFFFFFFF"/>
      <name val="Arial"/>
      <charset val="1"/>
    </font>
    <font>
      <sz val="10"/>
      <color rgb="FF1B2A4A"/>
      <name val="Arial"/>
      <charset val="1"/>
    </font>
    <font>
      <b/>
      <sz val="12"/>
      <color rgb="FF1D6F42"/>
      <name val="Arial"/>
      <charset val="1"/>
    </font>
    <font>
      <sz val="10"/>
      <color rgb="FF000000"/>
      <name val="Arial"/>
      <charset val="1"/>
    </font>
    <font>
      <b/>
      <sz val="12"/>
      <color rgb="FFBBBBBB"/>
      <name val="Arial"/>
      <charset val="1"/>
    </font>
    <font>
      <i/>
      <sz val="8"/>
      <color rgb="FF999999"/>
      <name val="Arial"/>
      <charset val="1"/>
    </font>
    <font>
      <b/>
      <sz val="18"/>
      <color rgb="FFFFFFFF"/>
      <name val="Arial"/>
      <charset val="1"/>
    </font>
    <font>
      <b/>
      <sz val="9"/>
      <color rgb="FF1B2A4A"/>
      <name val="Arial"/>
      <charset val="1"/>
    </font>
    <font>
      <b/>
      <sz val="22"/>
      <color rgb="FF1B2A4A"/>
      <name val="Arial"/>
      <charset val="1"/>
    </font>
    <font>
      <b/>
      <sz val="9"/>
      <color rgb="FFFFFFFF"/>
      <name val="Arial"/>
      <charset val="1"/>
    </font>
    <font>
      <b/>
      <sz val="10"/>
      <color rgb="FF1B2A4A"/>
      <name val="Arial"/>
      <charset val="1"/>
    </font>
    <font>
      <sz val="9"/>
      <color rgb="FF1B2A4A"/>
      <name val="Arial"/>
      <charset val="1"/>
    </font>
    <font>
      <b/>
      <sz val="11"/>
      <color rgb="FFFFFFFF"/>
      <name val="Arial"/>
      <charset val="1"/>
    </font>
    <font>
      <b/>
      <sz val="11"/>
      <color rgb="FF1D6F42"/>
      <name val="Arial"/>
      <charset val="1"/>
    </font>
    <font>
      <b/>
      <sz val="9"/>
      <color rgb="FF1D6F42"/>
      <name val="Arial"/>
      <charset val="1"/>
    </font>
    <font>
      <b/>
      <i/>
      <sz val="9"/>
      <color rgb="FF1B2A4A"/>
      <name val="Arial"/>
      <charset val="1"/>
    </font>
    <font>
      <sz val="11"/>
      <color rgb="FFBBBBBB"/>
      <name val="Arial"/>
      <charset val="1"/>
    </font>
    <font>
      <b/>
      <sz val="9"/>
      <color rgb="FFB8560A"/>
      <name val="Arial"/>
      <charset val="1"/>
    </font>
    <font>
      <b/>
      <sz val="11"/>
      <color theme="1"/>
      <name val="Calibri"/>
      <family val="2"/>
    </font>
    <font>
      <sz val="10"/>
      <color rgb="FF1B2A4A"/>
      <name val="Arial"/>
      <family val="2"/>
    </font>
    <font>
      <b/>
      <sz val="11"/>
      <color rgb="FFFFFFFF"/>
      <name val="Arial"/>
      <family val="2"/>
    </font>
    <font>
      <b/>
      <sz val="18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1B2A4A"/>
      <name val="Arial"/>
      <family val="2"/>
    </font>
    <font>
      <sz val="11"/>
      <color theme="1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C9A84C"/>
        <bgColor rgb="FF999999"/>
      </patternFill>
    </fill>
    <fill>
      <patternFill patternType="solid">
        <fgColor rgb="FFFFFFFF"/>
        <bgColor rgb="FFF2F4F7"/>
      </patternFill>
    </fill>
    <fill>
      <patternFill patternType="solid">
        <fgColor rgb="FFF2F4F7"/>
        <bgColor rgb="FFFFFFFF"/>
      </patternFill>
    </fill>
    <fill>
      <patternFill patternType="solid">
        <fgColor rgb="FF0D6E6E"/>
        <bgColor rgb="FF1D6F42"/>
      </patternFill>
    </fill>
    <fill>
      <patternFill patternType="solid">
        <fgColor rgb="FFE2EFDA"/>
        <bgColor rgb="FFDBEAFE"/>
      </patternFill>
    </fill>
    <fill>
      <patternFill patternType="solid">
        <fgColor rgb="FFFCE4D6"/>
        <bgColor rgb="FFE2EFDA"/>
      </patternFill>
    </fill>
    <fill>
      <patternFill patternType="solid">
        <fgColor rgb="FFD9DDE3"/>
        <bgColor rgb="FFDBEAFE"/>
      </patternFill>
    </fill>
    <fill>
      <patternFill patternType="solid">
        <fgColor rgb="FFF2F4F7"/>
        <bgColor rgb="FFF2F4F7"/>
      </patternFill>
    </fill>
  </fills>
  <borders count="4">
    <border>
      <left/>
      <right/>
      <top/>
      <bottom/>
      <diagonal/>
    </border>
    <border>
      <left style="thin">
        <color rgb="FFC0C8D4"/>
      </left>
      <right style="thin">
        <color rgb="FFC0C8D4"/>
      </right>
      <top style="thin">
        <color rgb="FFC0C8D4"/>
      </top>
      <bottom style="thin">
        <color rgb="FFC0C8D4"/>
      </bottom>
      <diagonal/>
    </border>
    <border>
      <left style="thin">
        <color rgb="FFC0C8D4"/>
      </left>
      <right style="thin">
        <color rgb="FFC0C8D4"/>
      </right>
      <top style="medium">
        <color rgb="FF0D6E6E"/>
      </top>
      <bottom style="thin">
        <color rgb="FFC0C8D4"/>
      </bottom>
      <diagonal/>
    </border>
    <border>
      <left style="thin">
        <color rgb="FFC0C8D4"/>
      </left>
      <right/>
      <top style="thin">
        <color rgb="FFC0C8D4"/>
      </top>
      <bottom style="thin">
        <color rgb="FFC0C8D4"/>
      </bottom>
      <diagonal/>
    </border>
  </borders>
  <cellStyleXfs count="2">
    <xf numFmtId="0" fontId="0" fillId="0" borderId="0"/>
    <xf numFmtId="9" fontId="27" fillId="0" borderId="0" applyFont="0" applyFill="0" applyBorder="0" applyAlignment="0" applyProtection="0"/>
  </cellStyleXfs>
  <cellXfs count="78">
    <xf numFmtId="0" fontId="0" fillId="0" borderId="0" xfId="0"/>
    <xf numFmtId="0" fontId="0" fillId="3" borderId="0" xfId="0" applyFill="1"/>
    <xf numFmtId="0" fontId="2" fillId="2" borderId="1" xfId="0" applyFont="1" applyFill="1" applyBorder="1" applyAlignment="1">
      <alignment horizontal="center" vertical="center" wrapText="1"/>
    </xf>
    <xf numFmtId="0" fontId="3" fillId="4" borderId="0" xfId="0" applyFont="1" applyFill="1"/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0" fillId="2" borderId="0" xfId="0" applyFill="1"/>
    <xf numFmtId="0" fontId="10" fillId="5" borderId="1" xfId="0" applyFont="1" applyFill="1" applyBorder="1" applyAlignment="1">
      <alignment horizontal="center" wrapText="1"/>
    </xf>
    <xf numFmtId="1" fontId="11" fillId="5" borderId="1" xfId="0" applyNumberFormat="1" applyFont="1" applyFill="1" applyBorder="1" applyAlignment="1">
      <alignment horizontal="center" vertical="center"/>
    </xf>
    <xf numFmtId="1" fontId="11" fillId="4" borderId="1" xfId="0" applyNumberFormat="1" applyFont="1" applyFill="1" applyBorder="1" applyAlignment="1">
      <alignment horizontal="center" vertical="center"/>
    </xf>
    <xf numFmtId="9" fontId="11" fillId="7" borderId="1" xfId="0" applyNumberFormat="1" applyFont="1" applyFill="1" applyBorder="1" applyAlignment="1">
      <alignment horizontal="center" vertical="center"/>
    </xf>
    <xf numFmtId="1" fontId="11" fillId="8" borderId="1" xfId="0" applyNumberFormat="1" applyFont="1" applyFill="1" applyBorder="1" applyAlignment="1">
      <alignment horizontal="center" vertical="center"/>
    </xf>
    <xf numFmtId="0" fontId="0" fillId="9" borderId="0" xfId="0" applyFill="1"/>
    <xf numFmtId="0" fontId="12" fillId="2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left" vertical="center"/>
    </xf>
    <xf numFmtId="9" fontId="4" fillId="4" borderId="1" xfId="0" applyNumberFormat="1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left" vertical="center"/>
    </xf>
    <xf numFmtId="9" fontId="4" fillId="5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1" fontId="2" fillId="2" borderId="1" xfId="0" applyNumberFormat="1" applyFont="1" applyFill="1" applyBorder="1" applyAlignment="1">
      <alignment horizontal="center" vertical="center"/>
    </xf>
    <xf numFmtId="9" fontId="2" fillId="2" borderId="1" xfId="0" applyNumberFormat="1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left" vertical="center"/>
    </xf>
    <xf numFmtId="0" fontId="14" fillId="4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left" vertical="center"/>
    </xf>
    <xf numFmtId="0" fontId="14" fillId="5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16" fillId="4" borderId="1" xfId="0" applyFont="1" applyFill="1" applyBorder="1" applyAlignment="1">
      <alignment horizontal="center" vertical="center"/>
    </xf>
    <xf numFmtId="0" fontId="17" fillId="7" borderId="1" xfId="0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  <xf numFmtId="0" fontId="19" fillId="5" borderId="1" xfId="0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horizontal="center" vertical="center"/>
    </xf>
    <xf numFmtId="0" fontId="21" fillId="0" borderId="0" xfId="0" applyFont="1"/>
    <xf numFmtId="14" fontId="4" fillId="5" borderId="1" xfId="0" applyNumberFormat="1" applyFont="1" applyFill="1" applyBorder="1" applyAlignment="1">
      <alignment horizontal="center" vertical="center"/>
    </xf>
    <xf numFmtId="14" fontId="22" fillId="5" borderId="2" xfId="0" applyNumberFormat="1" applyFont="1" applyFill="1" applyBorder="1" applyAlignment="1">
      <alignment horizontal="center" vertical="center"/>
    </xf>
    <xf numFmtId="14" fontId="22" fillId="4" borderId="1" xfId="0" applyNumberFormat="1" applyFont="1" applyFill="1" applyBorder="1" applyAlignment="1">
      <alignment horizontal="center" vertical="center"/>
    </xf>
    <xf numFmtId="14" fontId="22" fillId="5" borderId="1" xfId="0" applyNumberFormat="1" applyFont="1" applyFill="1" applyBorder="1" applyAlignment="1">
      <alignment horizontal="center" vertical="center"/>
    </xf>
    <xf numFmtId="14" fontId="22" fillId="4" borderId="2" xfId="0" applyNumberFormat="1" applyFont="1" applyFill="1" applyBorder="1" applyAlignment="1">
      <alignment horizontal="center" vertical="center"/>
    </xf>
    <xf numFmtId="0" fontId="22" fillId="5" borderId="2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22" fillId="0" borderId="1" xfId="0" applyNumberFormat="1" applyFont="1" applyBorder="1" applyAlignment="1">
      <alignment horizontal="center" vertical="center"/>
    </xf>
    <xf numFmtId="0" fontId="4" fillId="10" borderId="1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14" fontId="22" fillId="10" borderId="1" xfId="0" applyNumberFormat="1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horizontal="left" vertical="center"/>
    </xf>
    <xf numFmtId="0" fontId="14" fillId="10" borderId="1" xfId="0" applyFont="1" applyFill="1" applyBorder="1" applyAlignment="1">
      <alignment horizontal="left" vertical="center"/>
    </xf>
    <xf numFmtId="0" fontId="14" fillId="10" borderId="1" xfId="0" applyFont="1" applyFill="1" applyBorder="1" applyAlignment="1">
      <alignment horizontal="center" vertical="center"/>
    </xf>
    <xf numFmtId="0" fontId="16" fillId="10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9" fontId="0" fillId="0" borderId="0" xfId="1" applyFont="1"/>
    <xf numFmtId="0" fontId="1" fillId="2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24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25" fillId="6" borderId="3" xfId="0" applyFont="1" applyFill="1" applyBorder="1" applyAlignment="1">
      <alignment horizontal="left" vertical="center"/>
    </xf>
    <xf numFmtId="0" fontId="2" fillId="6" borderId="3" xfId="0" applyFont="1" applyFill="1" applyBorder="1" applyAlignment="1">
      <alignment horizontal="left" vertical="center"/>
    </xf>
    <xf numFmtId="0" fontId="18" fillId="5" borderId="3" xfId="0" applyFont="1" applyFill="1" applyBorder="1" applyAlignment="1">
      <alignment horizontal="left" vertical="center"/>
    </xf>
    <xf numFmtId="0" fontId="23" fillId="6" borderId="1" xfId="0" applyFont="1" applyFill="1" applyBorder="1" applyAlignment="1">
      <alignment horizontal="left" vertical="center"/>
    </xf>
    <xf numFmtId="0" fontId="15" fillId="6" borderId="1" xfId="0" applyFont="1" applyFill="1" applyBorder="1" applyAlignment="1">
      <alignment horizontal="left" vertical="center"/>
    </xf>
  </cellXfs>
  <cellStyles count="2">
    <cellStyle name="Normal" xfId="0" builtinId="0"/>
    <cellStyle name="Percent" xfId="1" builtinId="5"/>
  </cellStyles>
  <dxfs count="4"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10"/>
        <color rgb="FFB8560A"/>
        <name val="Arial"/>
        <charset val="1"/>
      </font>
      <fill>
        <patternFill>
          <bgColor rgb="FFFCE4D6"/>
        </patternFill>
      </fill>
    </dxf>
    <dxf>
      <font>
        <b/>
        <sz val="10"/>
        <color rgb="FF1E40AF"/>
        <name val="Arial"/>
        <charset val="1"/>
      </font>
      <fill>
        <patternFill>
          <bgColor rgb="FFDBEAFE"/>
        </patternFill>
      </fill>
    </dxf>
    <dxf>
      <font>
        <b/>
        <sz val="10"/>
        <color rgb="FF1D6F42"/>
        <name val="Arial"/>
        <charset val="1"/>
      </font>
      <fill>
        <patternFill>
          <bgColor rgb="FFE2EFDA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D6E6E"/>
      <rgbColor rgb="FFBBBBBB"/>
      <rgbColor rgb="FF808080"/>
      <rgbColor rgb="FF9999FF"/>
      <rgbColor rgb="FF993366"/>
      <rgbColor rgb="FFF2F4F7"/>
      <rgbColor rgb="FFDBEAFE"/>
      <rgbColor rgb="FF660066"/>
      <rgbColor rgb="FFFF8080"/>
      <rgbColor rgb="FF0066CC"/>
      <rgbColor rgb="FFC0C8D4"/>
      <rgbColor rgb="FF000080"/>
      <rgbColor rgb="FFFF00FF"/>
      <rgbColor rgb="FFFFFF00"/>
      <rgbColor rgb="FF00FFFF"/>
      <rgbColor rgb="FF800080"/>
      <rgbColor rgb="FF800000"/>
      <rgbColor rgb="FF1D6F42"/>
      <rgbColor rgb="FF0000FF"/>
      <rgbColor rgb="FF00CCFF"/>
      <rgbColor rgb="FFD9DDE3"/>
      <rgbColor rgb="FFE2EFDA"/>
      <rgbColor rgb="FFFCE4D6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C9A84C"/>
      <rgbColor rgb="FFFF6600"/>
      <rgbColor rgb="FF666699"/>
      <rgbColor rgb="FF999999"/>
      <rgbColor rgb="FF003366"/>
      <rgbColor rgb="FF339966"/>
      <rgbColor rgb="FF003300"/>
      <rgbColor rgb="FF333300"/>
      <rgbColor rgb="FFB8560A"/>
      <rgbColor rgb="FF993366"/>
      <rgbColor rgb="FF1E40AF"/>
      <rgbColor rgb="FF1B2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2F4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D6E6E"/>
  </sheetPr>
  <dimension ref="A1:N80"/>
  <sheetViews>
    <sheetView showGridLines="0" tabSelected="1" zoomScaleNormal="100" workbookViewId="0">
      <pane ySplit="1" topLeftCell="A52" activePane="bottomLeft" state="frozen"/>
      <selection pane="bottomLeft" activeCell="J59" sqref="J59"/>
    </sheetView>
  </sheetViews>
  <sheetFormatPr defaultColWidth="8.5703125" defaultRowHeight="15" x14ac:dyDescent="0.25"/>
  <cols>
    <col min="1" max="1" width="36" customWidth="1"/>
    <col min="2" max="2" width="11" customWidth="1"/>
    <col min="3" max="3" width="12" customWidth="1"/>
    <col min="4" max="6" width="11" customWidth="1"/>
    <col min="7" max="7" width="13" customWidth="1"/>
    <col min="8" max="8" width="14" customWidth="1"/>
  </cols>
  <sheetData>
    <row r="1" spans="1:14" ht="36" customHeight="1" x14ac:dyDescent="0.25">
      <c r="A1" s="69" t="s">
        <v>107</v>
      </c>
      <c r="B1" s="69"/>
      <c r="C1" s="69"/>
      <c r="D1" s="69"/>
      <c r="E1" s="69"/>
      <c r="F1" s="69"/>
      <c r="G1" s="69"/>
      <c r="H1" s="69"/>
    </row>
    <row r="2" spans="1:14" ht="3.75" customHeight="1" x14ac:dyDescent="0.25">
      <c r="A2" s="1"/>
      <c r="B2" s="1"/>
      <c r="C2" s="1"/>
      <c r="D2" s="1"/>
      <c r="E2" s="1"/>
      <c r="F2" s="1"/>
      <c r="G2" s="1"/>
      <c r="H2" s="1"/>
    </row>
    <row r="3" spans="1:14" ht="27.75" customHeight="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M3" t="s">
        <v>108</v>
      </c>
      <c r="N3" t="s">
        <v>11</v>
      </c>
    </row>
    <row r="4" spans="1:14" ht="15" customHeight="1" x14ac:dyDescent="0.25">
      <c r="A4" s="3"/>
      <c r="B4" s="3"/>
      <c r="C4" s="3">
        <f>COUNTA(A5:A78)</f>
        <v>74</v>
      </c>
      <c r="D4" s="3">
        <f>COUNTIF(D5:D500,"✓")</f>
        <v>67</v>
      </c>
      <c r="E4" s="3">
        <f>COUNTIF(E5:E500,"✓")</f>
        <v>45</v>
      </c>
      <c r="F4" s="3">
        <f>COUNTIF(F5:F500,"✓")</f>
        <v>42</v>
      </c>
      <c r="G4" s="3"/>
      <c r="H4" s="3"/>
    </row>
    <row r="5" spans="1:14" ht="18" customHeight="1" x14ac:dyDescent="0.25">
      <c r="A5" s="4" t="s">
        <v>8</v>
      </c>
      <c r="B5" s="5" t="s">
        <v>9</v>
      </c>
      <c r="C5" s="5" t="s">
        <v>10</v>
      </c>
      <c r="D5" s="6" t="s">
        <v>11</v>
      </c>
      <c r="E5" s="6" t="s">
        <v>11</v>
      </c>
      <c r="F5" s="6" t="s">
        <v>11</v>
      </c>
      <c r="G5" s="49" t="s">
        <v>110</v>
      </c>
      <c r="H5" s="7" t="str">
        <f t="shared" ref="H5:H29" si="0">IF(AND(D5="✓",E5="✓",F5="✓"),"Complete",IF(E5="✓","Reviewed",IF(D5="✓","Submitted","Pending")))</f>
        <v>Complete</v>
      </c>
    </row>
    <row r="6" spans="1:14" ht="18" customHeight="1" x14ac:dyDescent="0.25">
      <c r="A6" s="8" t="s">
        <v>12</v>
      </c>
      <c r="B6" s="9" t="s">
        <v>13</v>
      </c>
      <c r="C6" s="9" t="s">
        <v>10</v>
      </c>
      <c r="D6" s="10" t="s">
        <v>11</v>
      </c>
      <c r="E6" s="10" t="s">
        <v>11</v>
      </c>
      <c r="F6" s="10" t="s">
        <v>11</v>
      </c>
      <c r="G6" s="50" t="s">
        <v>116</v>
      </c>
      <c r="H6" s="11" t="str">
        <f t="shared" si="0"/>
        <v>Complete</v>
      </c>
    </row>
    <row r="7" spans="1:14" ht="18" customHeight="1" x14ac:dyDescent="0.25">
      <c r="A7" s="4" t="s">
        <v>14</v>
      </c>
      <c r="B7" s="5" t="s">
        <v>13</v>
      </c>
      <c r="C7" s="5" t="s">
        <v>10</v>
      </c>
      <c r="D7" s="6" t="s">
        <v>11</v>
      </c>
      <c r="E7" s="6" t="s">
        <v>11</v>
      </c>
      <c r="F7" s="6"/>
      <c r="G7" s="49" t="s">
        <v>112</v>
      </c>
      <c r="H7" s="7" t="str">
        <f t="shared" si="0"/>
        <v>Reviewed</v>
      </c>
    </row>
    <row r="8" spans="1:14" ht="18" customHeight="1" x14ac:dyDescent="0.25">
      <c r="A8" s="8" t="s">
        <v>15</v>
      </c>
      <c r="B8" s="9" t="s">
        <v>13</v>
      </c>
      <c r="C8" s="9" t="s">
        <v>10</v>
      </c>
      <c r="D8" s="10" t="s">
        <v>11</v>
      </c>
      <c r="E8" s="10" t="s">
        <v>11</v>
      </c>
      <c r="F8" s="10" t="s">
        <v>11</v>
      </c>
      <c r="G8" s="47">
        <v>46117</v>
      </c>
      <c r="H8" s="11" t="str">
        <f t="shared" si="0"/>
        <v>Complete</v>
      </c>
    </row>
    <row r="9" spans="1:14" ht="18" customHeight="1" x14ac:dyDescent="0.25">
      <c r="A9" s="4" t="s">
        <v>16</v>
      </c>
      <c r="B9" s="5" t="s">
        <v>13</v>
      </c>
      <c r="C9" s="5" t="s">
        <v>10</v>
      </c>
      <c r="D9" s="6" t="s">
        <v>11</v>
      </c>
      <c r="E9" s="6" t="s">
        <v>11</v>
      </c>
      <c r="F9" s="6" t="s">
        <v>11</v>
      </c>
      <c r="G9" s="49" t="s">
        <v>111</v>
      </c>
      <c r="H9" s="7" t="str">
        <f t="shared" si="0"/>
        <v>Complete</v>
      </c>
    </row>
    <row r="10" spans="1:14" ht="18" customHeight="1" x14ac:dyDescent="0.25">
      <c r="A10" s="8" t="s">
        <v>17</v>
      </c>
      <c r="B10" s="9" t="s">
        <v>13</v>
      </c>
      <c r="C10" s="9" t="s">
        <v>10</v>
      </c>
      <c r="D10" s="10" t="s">
        <v>11</v>
      </c>
      <c r="E10" s="10" t="s">
        <v>11</v>
      </c>
      <c r="F10" s="10" t="s">
        <v>11</v>
      </c>
      <c r="G10" s="50" t="s">
        <v>115</v>
      </c>
      <c r="H10" s="11" t="str">
        <f t="shared" si="0"/>
        <v>Complete</v>
      </c>
    </row>
    <row r="11" spans="1:14" ht="18" customHeight="1" x14ac:dyDescent="0.25">
      <c r="A11" s="4" t="s">
        <v>18</v>
      </c>
      <c r="B11" s="5" t="s">
        <v>13</v>
      </c>
      <c r="C11" s="5" t="s">
        <v>10</v>
      </c>
      <c r="D11" s="6" t="s">
        <v>11</v>
      </c>
      <c r="E11" s="6"/>
      <c r="F11" s="6"/>
      <c r="G11" s="49" t="s">
        <v>114</v>
      </c>
      <c r="H11" s="7" t="str">
        <f t="shared" si="0"/>
        <v>Submitted</v>
      </c>
    </row>
    <row r="12" spans="1:14" ht="18" customHeight="1" x14ac:dyDescent="0.25">
      <c r="A12" s="8" t="s">
        <v>19</v>
      </c>
      <c r="B12" s="9" t="s">
        <v>20</v>
      </c>
      <c r="C12" s="9" t="s">
        <v>10</v>
      </c>
      <c r="D12" s="10" t="s">
        <v>11</v>
      </c>
      <c r="E12" s="10"/>
      <c r="F12" s="10"/>
      <c r="G12" s="50" t="s">
        <v>117</v>
      </c>
      <c r="H12" s="11" t="str">
        <f t="shared" si="0"/>
        <v>Submitted</v>
      </c>
    </row>
    <row r="13" spans="1:14" ht="18" customHeight="1" x14ac:dyDescent="0.25">
      <c r="A13" s="4" t="s">
        <v>21</v>
      </c>
      <c r="B13" s="5" t="s">
        <v>20</v>
      </c>
      <c r="C13" s="5" t="s">
        <v>10</v>
      </c>
      <c r="D13" s="6" t="s">
        <v>11</v>
      </c>
      <c r="E13" s="6"/>
      <c r="F13" s="6"/>
      <c r="G13" s="49" t="s">
        <v>110</v>
      </c>
      <c r="H13" s="7" t="str">
        <f t="shared" si="0"/>
        <v>Submitted</v>
      </c>
    </row>
    <row r="14" spans="1:14" ht="18" customHeight="1" x14ac:dyDescent="0.25">
      <c r="A14" s="8" t="s">
        <v>22</v>
      </c>
      <c r="B14" s="9" t="s">
        <v>20</v>
      </c>
      <c r="C14" s="9" t="s">
        <v>10</v>
      </c>
      <c r="D14" s="10" t="s">
        <v>11</v>
      </c>
      <c r="E14" s="10"/>
      <c r="F14" s="10"/>
      <c r="G14" s="50" t="s">
        <v>112</v>
      </c>
      <c r="H14" s="11" t="str">
        <f t="shared" si="0"/>
        <v>Submitted</v>
      </c>
    </row>
    <row r="15" spans="1:14" ht="18" customHeight="1" x14ac:dyDescent="0.25">
      <c r="A15" s="4" t="s">
        <v>23</v>
      </c>
      <c r="B15" s="5" t="s">
        <v>24</v>
      </c>
      <c r="C15" s="5" t="s">
        <v>10</v>
      </c>
      <c r="D15" s="6" t="s">
        <v>11</v>
      </c>
      <c r="E15" s="6" t="s">
        <v>11</v>
      </c>
      <c r="F15" s="6" t="s">
        <v>11</v>
      </c>
      <c r="G15" s="49" t="s">
        <v>114</v>
      </c>
      <c r="H15" s="7" t="str">
        <f t="shared" si="0"/>
        <v>Complete</v>
      </c>
    </row>
    <row r="16" spans="1:14" ht="18" customHeight="1" x14ac:dyDescent="0.25">
      <c r="A16" s="8" t="s">
        <v>25</v>
      </c>
      <c r="B16" s="9" t="s">
        <v>24</v>
      </c>
      <c r="C16" s="9" t="s">
        <v>10</v>
      </c>
      <c r="D16" s="10" t="s">
        <v>11</v>
      </c>
      <c r="E16" s="10" t="s">
        <v>11</v>
      </c>
      <c r="F16" s="10" t="s">
        <v>11</v>
      </c>
      <c r="G16" s="50" t="s">
        <v>111</v>
      </c>
      <c r="H16" s="11" t="str">
        <f t="shared" si="0"/>
        <v>Complete</v>
      </c>
    </row>
    <row r="17" spans="1:11" ht="18" customHeight="1" x14ac:dyDescent="0.25">
      <c r="A17" s="4" t="s">
        <v>26</v>
      </c>
      <c r="B17" s="5" t="s">
        <v>24</v>
      </c>
      <c r="C17" s="5" t="s">
        <v>10</v>
      </c>
      <c r="D17" s="6" t="s">
        <v>11</v>
      </c>
      <c r="E17" s="6" t="s">
        <v>11</v>
      </c>
      <c r="F17" s="6" t="s">
        <v>11</v>
      </c>
      <c r="G17" s="49" t="s">
        <v>115</v>
      </c>
      <c r="H17" s="7" t="str">
        <f t="shared" si="0"/>
        <v>Complete</v>
      </c>
    </row>
    <row r="18" spans="1:11" ht="18" customHeight="1" x14ac:dyDescent="0.25">
      <c r="A18" s="12" t="s">
        <v>27</v>
      </c>
      <c r="B18" s="13" t="s">
        <v>9</v>
      </c>
      <c r="C18" s="13" t="s">
        <v>28</v>
      </c>
      <c r="D18" s="14" t="s">
        <v>11</v>
      </c>
      <c r="E18" s="14"/>
      <c r="F18" s="14"/>
      <c r="G18" s="48" t="s">
        <v>117</v>
      </c>
      <c r="H18" s="15" t="str">
        <f t="shared" si="0"/>
        <v>Submitted</v>
      </c>
    </row>
    <row r="19" spans="1:11" ht="18" customHeight="1" x14ac:dyDescent="0.25">
      <c r="A19" s="4" t="s">
        <v>29</v>
      </c>
      <c r="B19" s="5" t="s">
        <v>20</v>
      </c>
      <c r="C19" s="5" t="s">
        <v>28</v>
      </c>
      <c r="D19" s="6"/>
      <c r="E19" s="16"/>
      <c r="F19" s="16"/>
      <c r="G19" s="49"/>
      <c r="H19" s="7" t="str">
        <f t="shared" si="0"/>
        <v>Pending</v>
      </c>
      <c r="I19" s="46" t="s">
        <v>106</v>
      </c>
      <c r="J19" s="46"/>
      <c r="K19" s="46"/>
    </row>
    <row r="20" spans="1:11" ht="18" customHeight="1" x14ac:dyDescent="0.25">
      <c r="A20" s="8" t="s">
        <v>30</v>
      </c>
      <c r="B20" s="9" t="s">
        <v>24</v>
      </c>
      <c r="C20" s="9" t="s">
        <v>28</v>
      </c>
      <c r="D20" s="10" t="s">
        <v>11</v>
      </c>
      <c r="E20" s="10" t="s">
        <v>11</v>
      </c>
      <c r="F20" s="10" t="s">
        <v>11</v>
      </c>
      <c r="G20" s="50" t="s">
        <v>117</v>
      </c>
      <c r="H20" s="11" t="str">
        <f t="shared" si="0"/>
        <v>Complete</v>
      </c>
    </row>
    <row r="21" spans="1:11" ht="18" customHeight="1" x14ac:dyDescent="0.25">
      <c r="A21" s="4" t="s">
        <v>31</v>
      </c>
      <c r="B21" s="5" t="s">
        <v>24</v>
      </c>
      <c r="C21" s="5" t="s">
        <v>28</v>
      </c>
      <c r="D21" s="6" t="s">
        <v>11</v>
      </c>
      <c r="E21" s="6" t="s">
        <v>11</v>
      </c>
      <c r="F21" s="6" t="s">
        <v>11</v>
      </c>
      <c r="G21" s="49" t="s">
        <v>118</v>
      </c>
      <c r="H21" s="7" t="str">
        <f t="shared" si="0"/>
        <v>Complete</v>
      </c>
    </row>
    <row r="22" spans="1:11" ht="18" customHeight="1" x14ac:dyDescent="0.25">
      <c r="A22" s="8" t="s">
        <v>32</v>
      </c>
      <c r="B22" s="9" t="s">
        <v>24</v>
      </c>
      <c r="C22" s="9" t="s">
        <v>28</v>
      </c>
      <c r="D22" s="10" t="s">
        <v>11</v>
      </c>
      <c r="E22" s="10" t="s">
        <v>11</v>
      </c>
      <c r="F22" s="10" t="s">
        <v>11</v>
      </c>
      <c r="G22" s="50" t="s">
        <v>119</v>
      </c>
      <c r="H22" s="11" t="str">
        <f t="shared" si="0"/>
        <v>Complete</v>
      </c>
    </row>
    <row r="23" spans="1:11" ht="18" customHeight="1" x14ac:dyDescent="0.25">
      <c r="A23" s="4" t="s">
        <v>33</v>
      </c>
      <c r="B23" s="5" t="s">
        <v>24</v>
      </c>
      <c r="C23" s="5" t="s">
        <v>28</v>
      </c>
      <c r="D23" s="6" t="s">
        <v>11</v>
      </c>
      <c r="E23" s="6" t="s">
        <v>11</v>
      </c>
      <c r="F23" s="6" t="s">
        <v>11</v>
      </c>
      <c r="G23" s="49" t="s">
        <v>110</v>
      </c>
      <c r="H23" s="7" t="str">
        <f t="shared" si="0"/>
        <v>Complete</v>
      </c>
    </row>
    <row r="24" spans="1:11" ht="18" customHeight="1" x14ac:dyDescent="0.25">
      <c r="A24" s="8" t="s">
        <v>34</v>
      </c>
      <c r="B24" s="9" t="s">
        <v>24</v>
      </c>
      <c r="C24" s="9" t="s">
        <v>28</v>
      </c>
      <c r="D24" s="10" t="s">
        <v>11</v>
      </c>
      <c r="E24" s="10" t="s">
        <v>11</v>
      </c>
      <c r="F24" s="10" t="s">
        <v>11</v>
      </c>
      <c r="G24" s="50" t="s">
        <v>110</v>
      </c>
      <c r="H24" s="11" t="str">
        <f t="shared" si="0"/>
        <v>Complete</v>
      </c>
    </row>
    <row r="25" spans="1:11" ht="18" customHeight="1" x14ac:dyDescent="0.25">
      <c r="A25" s="4" t="s">
        <v>35</v>
      </c>
      <c r="B25" s="5" t="s">
        <v>24</v>
      </c>
      <c r="C25" s="5" t="s">
        <v>28</v>
      </c>
      <c r="D25" s="6" t="s">
        <v>11</v>
      </c>
      <c r="E25" s="6" t="s">
        <v>11</v>
      </c>
      <c r="F25" s="6" t="s">
        <v>11</v>
      </c>
      <c r="G25" s="49" t="s">
        <v>112</v>
      </c>
      <c r="H25" s="7" t="str">
        <f t="shared" si="0"/>
        <v>Complete</v>
      </c>
    </row>
    <row r="26" spans="1:11" ht="18" customHeight="1" x14ac:dyDescent="0.25">
      <c r="A26" s="57" t="s">
        <v>38</v>
      </c>
      <c r="B26" s="58" t="s">
        <v>9</v>
      </c>
      <c r="C26" s="58" t="s">
        <v>28</v>
      </c>
      <c r="D26" s="59" t="s">
        <v>11</v>
      </c>
      <c r="E26" s="59" t="s">
        <v>11</v>
      </c>
      <c r="F26" s="59" t="s">
        <v>11</v>
      </c>
      <c r="G26" s="60" t="s">
        <v>109</v>
      </c>
      <c r="H26" s="7" t="str">
        <f t="shared" si="0"/>
        <v>Complete</v>
      </c>
    </row>
    <row r="27" spans="1:11" ht="18" customHeight="1" x14ac:dyDescent="0.25">
      <c r="A27" s="4" t="s">
        <v>40</v>
      </c>
      <c r="B27" s="5" t="s">
        <v>13</v>
      </c>
      <c r="C27" s="5" t="s">
        <v>28</v>
      </c>
      <c r="D27" s="6" t="s">
        <v>11</v>
      </c>
      <c r="E27" s="6" t="s">
        <v>11</v>
      </c>
      <c r="F27" s="6" t="s">
        <v>11</v>
      </c>
      <c r="G27" s="49" t="s">
        <v>112</v>
      </c>
      <c r="H27" s="7" t="str">
        <f t="shared" si="0"/>
        <v>Complete</v>
      </c>
    </row>
    <row r="28" spans="1:11" ht="18" customHeight="1" x14ac:dyDescent="0.25">
      <c r="A28" s="8" t="s">
        <v>36</v>
      </c>
      <c r="B28" s="9" t="s">
        <v>24</v>
      </c>
      <c r="C28" s="9" t="s">
        <v>28</v>
      </c>
      <c r="D28" s="10" t="s">
        <v>11</v>
      </c>
      <c r="E28" s="10" t="s">
        <v>11</v>
      </c>
      <c r="F28" s="10" t="s">
        <v>11</v>
      </c>
      <c r="G28" s="50" t="s">
        <v>116</v>
      </c>
      <c r="H28" s="11" t="str">
        <f t="shared" si="0"/>
        <v>Complete</v>
      </c>
    </row>
    <row r="29" spans="1:11" ht="18" customHeight="1" thickBot="1" x14ac:dyDescent="0.3">
      <c r="A29" s="4" t="s">
        <v>37</v>
      </c>
      <c r="B29" s="5" t="s">
        <v>24</v>
      </c>
      <c r="C29" s="5" t="s">
        <v>28</v>
      </c>
      <c r="D29" s="6" t="s">
        <v>11</v>
      </c>
      <c r="E29" s="6" t="s">
        <v>11</v>
      </c>
      <c r="F29" s="6" t="s">
        <v>11</v>
      </c>
      <c r="G29" s="49" t="s">
        <v>113</v>
      </c>
      <c r="H29" s="7" t="str">
        <f t="shared" si="0"/>
        <v>Complete</v>
      </c>
    </row>
    <row r="30" spans="1:11" ht="18" customHeight="1" x14ac:dyDescent="0.25">
      <c r="A30" s="17" t="s">
        <v>49</v>
      </c>
      <c r="B30" s="18" t="s">
        <v>9</v>
      </c>
      <c r="C30" s="18" t="s">
        <v>50</v>
      </c>
      <c r="D30" s="19" t="s">
        <v>11</v>
      </c>
      <c r="E30" s="19" t="s">
        <v>11</v>
      </c>
      <c r="F30" s="19" t="s">
        <v>11</v>
      </c>
      <c r="G30" s="51" t="s">
        <v>121</v>
      </c>
      <c r="H30" s="20" t="str">
        <f t="shared" ref="H30:H66" si="1">IF(AND(D30="✓",E30="✓",F30="✓"),"Complete",IF(E30="✓","Reviewed",IF(D30="✓","Submitted","Pending")))</f>
        <v>Complete</v>
      </c>
    </row>
    <row r="31" spans="1:11" ht="18" customHeight="1" x14ac:dyDescent="0.25">
      <c r="A31" s="8" t="s">
        <v>51</v>
      </c>
      <c r="B31" s="9" t="s">
        <v>9</v>
      </c>
      <c r="C31" s="9" t="s">
        <v>50</v>
      </c>
      <c r="D31" s="10" t="s">
        <v>11</v>
      </c>
      <c r="E31" s="10"/>
      <c r="F31" s="10"/>
      <c r="G31" s="50" t="s">
        <v>112</v>
      </c>
      <c r="H31" s="11" t="str">
        <f t="shared" si="1"/>
        <v>Submitted</v>
      </c>
    </row>
    <row r="32" spans="1:11" ht="18" customHeight="1" x14ac:dyDescent="0.25">
      <c r="A32" s="4" t="s">
        <v>52</v>
      </c>
      <c r="B32" s="5" t="s">
        <v>9</v>
      </c>
      <c r="C32" s="5" t="s">
        <v>50</v>
      </c>
      <c r="D32" s="6" t="s">
        <v>11</v>
      </c>
      <c r="E32" s="6"/>
      <c r="F32" s="6"/>
      <c r="G32" s="49" t="s">
        <v>116</v>
      </c>
      <c r="H32" s="7" t="str">
        <f t="shared" si="1"/>
        <v>Submitted</v>
      </c>
    </row>
    <row r="33" spans="1:8" ht="18" customHeight="1" x14ac:dyDescent="0.25">
      <c r="A33" s="8" t="s">
        <v>53</v>
      </c>
      <c r="B33" s="9" t="s">
        <v>9</v>
      </c>
      <c r="C33" s="9" t="s">
        <v>50</v>
      </c>
      <c r="D33" s="10" t="s">
        <v>11</v>
      </c>
      <c r="E33" s="10"/>
      <c r="F33" s="10"/>
      <c r="G33" s="50" t="s">
        <v>115</v>
      </c>
      <c r="H33" s="11" t="str">
        <f t="shared" si="1"/>
        <v>Submitted</v>
      </c>
    </row>
    <row r="34" spans="1:8" ht="18" customHeight="1" x14ac:dyDescent="0.25">
      <c r="A34" s="4" t="s">
        <v>54</v>
      </c>
      <c r="B34" s="5" t="s">
        <v>9</v>
      </c>
      <c r="C34" s="5" t="s">
        <v>50</v>
      </c>
      <c r="D34" s="6" t="s">
        <v>11</v>
      </c>
      <c r="E34" s="6" t="s">
        <v>11</v>
      </c>
      <c r="F34" s="6" t="s">
        <v>11</v>
      </c>
      <c r="G34" s="49" t="s">
        <v>122</v>
      </c>
      <c r="H34" s="7" t="str">
        <f t="shared" si="1"/>
        <v>Complete</v>
      </c>
    </row>
    <row r="35" spans="1:8" ht="18" customHeight="1" x14ac:dyDescent="0.25">
      <c r="A35" s="8" t="s">
        <v>55</v>
      </c>
      <c r="B35" s="9" t="s">
        <v>9</v>
      </c>
      <c r="C35" s="9" t="s">
        <v>50</v>
      </c>
      <c r="D35" s="10" t="s">
        <v>11</v>
      </c>
      <c r="E35" s="10" t="s">
        <v>11</v>
      </c>
      <c r="F35" s="10" t="s">
        <v>11</v>
      </c>
      <c r="G35" s="47" t="s">
        <v>110</v>
      </c>
      <c r="H35" s="11" t="str">
        <f t="shared" si="1"/>
        <v>Complete</v>
      </c>
    </row>
    <row r="36" spans="1:8" ht="18" customHeight="1" x14ac:dyDescent="0.25">
      <c r="A36" s="57" t="s">
        <v>56</v>
      </c>
      <c r="B36" s="58" t="s">
        <v>9</v>
      </c>
      <c r="C36" s="58" t="s">
        <v>50</v>
      </c>
      <c r="D36" s="59" t="s">
        <v>11</v>
      </c>
      <c r="E36" s="59" t="s">
        <v>11</v>
      </c>
      <c r="F36" s="59" t="s">
        <v>11</v>
      </c>
      <c r="G36" s="60" t="s">
        <v>113</v>
      </c>
      <c r="H36" s="7" t="str">
        <f t="shared" si="1"/>
        <v>Complete</v>
      </c>
    </row>
    <row r="37" spans="1:8" ht="18" customHeight="1" x14ac:dyDescent="0.25">
      <c r="A37" s="4" t="s">
        <v>46</v>
      </c>
      <c r="B37" s="5" t="s">
        <v>20</v>
      </c>
      <c r="C37" s="5" t="s">
        <v>50</v>
      </c>
      <c r="D37" s="6" t="s">
        <v>11</v>
      </c>
      <c r="E37" s="6"/>
      <c r="F37" s="6"/>
      <c r="G37" s="49" t="s">
        <v>111</v>
      </c>
      <c r="H37" s="7" t="str">
        <f t="shared" si="1"/>
        <v>Submitted</v>
      </c>
    </row>
    <row r="38" spans="1:8" ht="18" customHeight="1" x14ac:dyDescent="0.25">
      <c r="A38" s="8" t="s">
        <v>57</v>
      </c>
      <c r="B38" s="9" t="s">
        <v>9</v>
      </c>
      <c r="C38" s="9" t="s">
        <v>50</v>
      </c>
      <c r="D38" s="10" t="s">
        <v>11</v>
      </c>
      <c r="E38" s="10"/>
      <c r="F38" s="10"/>
      <c r="G38" s="50" t="s">
        <v>119</v>
      </c>
      <c r="H38" s="11" t="str">
        <f t="shared" si="1"/>
        <v>Submitted</v>
      </c>
    </row>
    <row r="39" spans="1:8" ht="18" customHeight="1" x14ac:dyDescent="0.25">
      <c r="A39" s="53" t="s">
        <v>41</v>
      </c>
      <c r="B39" s="54" t="s">
        <v>13</v>
      </c>
      <c r="C39" s="54" t="s">
        <v>50</v>
      </c>
      <c r="D39" s="55"/>
      <c r="E39" s="55"/>
      <c r="F39" s="55"/>
      <c r="G39" s="56" t="s">
        <v>111</v>
      </c>
      <c r="H39" s="11" t="str">
        <f t="shared" si="1"/>
        <v>Pending</v>
      </c>
    </row>
    <row r="40" spans="1:8" ht="18" customHeight="1" x14ac:dyDescent="0.25">
      <c r="A40" s="8" t="s">
        <v>43</v>
      </c>
      <c r="B40" s="9" t="s">
        <v>20</v>
      </c>
      <c r="C40" s="9" t="s">
        <v>50</v>
      </c>
      <c r="D40" s="10" t="s">
        <v>11</v>
      </c>
      <c r="E40" s="10"/>
      <c r="F40" s="10"/>
      <c r="G40" s="50" t="s">
        <v>113</v>
      </c>
      <c r="H40" s="11" t="str">
        <f t="shared" si="1"/>
        <v>Submitted</v>
      </c>
    </row>
    <row r="41" spans="1:8" ht="18" customHeight="1" thickBot="1" x14ac:dyDescent="0.3">
      <c r="A41" s="4" t="s">
        <v>58</v>
      </c>
      <c r="B41" s="5" t="s">
        <v>9</v>
      </c>
      <c r="C41" s="5" t="s">
        <v>50</v>
      </c>
      <c r="D41" s="6" t="s">
        <v>11</v>
      </c>
      <c r="E41" s="6"/>
      <c r="F41" s="6"/>
      <c r="G41" s="49" t="s">
        <v>113</v>
      </c>
      <c r="H41" s="7" t="str">
        <f t="shared" si="1"/>
        <v>Submitted</v>
      </c>
    </row>
    <row r="42" spans="1:8" ht="18" customHeight="1" x14ac:dyDescent="0.25">
      <c r="A42" s="12" t="s">
        <v>59</v>
      </c>
      <c r="B42" s="13" t="s">
        <v>9</v>
      </c>
      <c r="C42" s="13" t="s">
        <v>60</v>
      </c>
      <c r="D42" s="14"/>
      <c r="E42" s="14"/>
      <c r="F42" s="14"/>
      <c r="G42" s="48" t="s">
        <v>116</v>
      </c>
      <c r="H42" s="15" t="str">
        <f t="shared" si="1"/>
        <v>Pending</v>
      </c>
    </row>
    <row r="43" spans="1:8" ht="18" customHeight="1" x14ac:dyDescent="0.25">
      <c r="A43" s="4" t="s">
        <v>61</v>
      </c>
      <c r="B43" s="5" t="s">
        <v>20</v>
      </c>
      <c r="C43" s="5" t="s">
        <v>60</v>
      </c>
      <c r="D43" s="6" t="s">
        <v>11</v>
      </c>
      <c r="E43" s="6"/>
      <c r="F43" s="6"/>
      <c r="G43" s="49" t="s">
        <v>113</v>
      </c>
      <c r="H43" s="7" t="str">
        <f t="shared" si="1"/>
        <v>Submitted</v>
      </c>
    </row>
    <row r="44" spans="1:8" ht="18" customHeight="1" x14ac:dyDescent="0.25">
      <c r="A44" s="8" t="s">
        <v>62</v>
      </c>
      <c r="B44" s="9" t="s">
        <v>20</v>
      </c>
      <c r="C44" s="9" t="s">
        <v>60</v>
      </c>
      <c r="D44" s="10" t="s">
        <v>11</v>
      </c>
      <c r="E44" s="10"/>
      <c r="F44" s="10"/>
      <c r="G44" s="50" t="s">
        <v>117</v>
      </c>
      <c r="H44" s="11" t="str">
        <f t="shared" si="1"/>
        <v>Submitted</v>
      </c>
    </row>
    <row r="45" spans="1:8" ht="18" customHeight="1" x14ac:dyDescent="0.25">
      <c r="A45" s="4" t="s">
        <v>63</v>
      </c>
      <c r="B45" s="5" t="s">
        <v>20</v>
      </c>
      <c r="C45" s="5" t="s">
        <v>60</v>
      </c>
      <c r="D45" s="6" t="s">
        <v>11</v>
      </c>
      <c r="E45" s="6" t="s">
        <v>11</v>
      </c>
      <c r="F45" s="6" t="s">
        <v>11</v>
      </c>
      <c r="G45" s="49" t="s">
        <v>111</v>
      </c>
      <c r="H45" s="7" t="str">
        <f t="shared" si="1"/>
        <v>Complete</v>
      </c>
    </row>
    <row r="46" spans="1:8" ht="18" customHeight="1" x14ac:dyDescent="0.25">
      <c r="A46" s="8" t="s">
        <v>64</v>
      </c>
      <c r="B46" s="9" t="s">
        <v>20</v>
      </c>
      <c r="C46" s="9" t="s">
        <v>60</v>
      </c>
      <c r="D46" s="10" t="s">
        <v>11</v>
      </c>
      <c r="E46" s="10"/>
      <c r="F46" s="10"/>
      <c r="G46" s="50" t="s">
        <v>118</v>
      </c>
      <c r="H46" s="11" t="str">
        <f t="shared" si="1"/>
        <v>Submitted</v>
      </c>
    </row>
    <row r="47" spans="1:8" ht="18" customHeight="1" x14ac:dyDescent="0.25">
      <c r="A47" s="4" t="s">
        <v>65</v>
      </c>
      <c r="B47" s="5" t="s">
        <v>20</v>
      </c>
      <c r="C47" s="5" t="s">
        <v>60</v>
      </c>
      <c r="D47" s="6" t="s">
        <v>11</v>
      </c>
      <c r="E47" s="6" t="s">
        <v>11</v>
      </c>
      <c r="F47" s="6" t="s">
        <v>11</v>
      </c>
      <c r="G47" s="49" t="s">
        <v>112</v>
      </c>
      <c r="H47" s="7" t="str">
        <f t="shared" si="1"/>
        <v>Complete</v>
      </c>
    </row>
    <row r="48" spans="1:8" ht="18" customHeight="1" x14ac:dyDescent="0.25">
      <c r="A48" s="8" t="s">
        <v>66</v>
      </c>
      <c r="B48" s="9" t="s">
        <v>20</v>
      </c>
      <c r="C48" s="9" t="s">
        <v>60</v>
      </c>
      <c r="D48" s="10" t="s">
        <v>11</v>
      </c>
      <c r="E48" s="10"/>
      <c r="F48" s="10"/>
      <c r="G48" s="50" t="s">
        <v>120</v>
      </c>
      <c r="H48" s="11" t="str">
        <f t="shared" si="1"/>
        <v>Submitted</v>
      </c>
    </row>
    <row r="49" spans="1:8" ht="18" customHeight="1" x14ac:dyDescent="0.25">
      <c r="A49" s="53" t="s">
        <v>39</v>
      </c>
      <c r="B49" s="54" t="s">
        <v>9</v>
      </c>
      <c r="C49" s="54" t="s">
        <v>60</v>
      </c>
      <c r="D49" s="55" t="s">
        <v>11</v>
      </c>
      <c r="E49" s="55"/>
      <c r="F49" s="55"/>
      <c r="G49" s="56" t="s">
        <v>110</v>
      </c>
      <c r="H49" s="11" t="str">
        <f t="shared" si="1"/>
        <v>Submitted</v>
      </c>
    </row>
    <row r="50" spans="1:8" ht="18" customHeight="1" x14ac:dyDescent="0.25">
      <c r="A50" s="8" t="s">
        <v>42</v>
      </c>
      <c r="B50" s="9" t="s">
        <v>13</v>
      </c>
      <c r="C50" s="9" t="s">
        <v>60</v>
      </c>
      <c r="D50" s="10" t="s">
        <v>11</v>
      </c>
      <c r="E50" s="10"/>
      <c r="F50" s="10"/>
      <c r="G50" s="50" t="s">
        <v>111</v>
      </c>
      <c r="H50" s="11" t="str">
        <f t="shared" si="1"/>
        <v>Submitted</v>
      </c>
    </row>
    <row r="51" spans="1:8" ht="18" customHeight="1" x14ac:dyDescent="0.25">
      <c r="A51" s="4" t="s">
        <v>67</v>
      </c>
      <c r="B51" s="5" t="s">
        <v>20</v>
      </c>
      <c r="C51" s="5" t="s">
        <v>60</v>
      </c>
      <c r="D51" s="6" t="s">
        <v>11</v>
      </c>
      <c r="E51" s="6" t="s">
        <v>11</v>
      </c>
      <c r="F51" s="6" t="s">
        <v>11</v>
      </c>
      <c r="G51" s="49" t="s">
        <v>115</v>
      </c>
      <c r="H51" s="7" t="str">
        <f t="shared" si="1"/>
        <v>Complete</v>
      </c>
    </row>
    <row r="52" spans="1:8" ht="18" customHeight="1" x14ac:dyDescent="0.25">
      <c r="A52" s="8" t="s">
        <v>68</v>
      </c>
      <c r="B52" s="9" t="s">
        <v>24</v>
      </c>
      <c r="C52" s="9" t="s">
        <v>60</v>
      </c>
      <c r="D52" s="10" t="s">
        <v>11</v>
      </c>
      <c r="E52" s="10" t="s">
        <v>11</v>
      </c>
      <c r="F52" s="10" t="s">
        <v>11</v>
      </c>
      <c r="G52" s="50" t="s">
        <v>119</v>
      </c>
      <c r="H52" s="11" t="str">
        <f t="shared" si="1"/>
        <v>Complete</v>
      </c>
    </row>
    <row r="53" spans="1:8" ht="18" customHeight="1" x14ac:dyDescent="0.25">
      <c r="A53" s="17" t="s">
        <v>69</v>
      </c>
      <c r="B53" s="18" t="s">
        <v>9</v>
      </c>
      <c r="C53" s="18" t="s">
        <v>70</v>
      </c>
      <c r="D53" s="19"/>
      <c r="E53" s="19"/>
      <c r="F53" s="19"/>
      <c r="G53" s="51" t="s">
        <v>117</v>
      </c>
      <c r="H53" s="20" t="str">
        <f t="shared" si="1"/>
        <v>Pending</v>
      </c>
    </row>
    <row r="54" spans="1:8" ht="18" customHeight="1" x14ac:dyDescent="0.25">
      <c r="A54" s="8" t="s">
        <v>71</v>
      </c>
      <c r="B54" s="9" t="s">
        <v>13</v>
      </c>
      <c r="C54" s="9" t="s">
        <v>70</v>
      </c>
      <c r="D54" s="10" t="s">
        <v>11</v>
      </c>
      <c r="E54" s="10"/>
      <c r="F54" s="10"/>
      <c r="G54" s="50" t="s">
        <v>119</v>
      </c>
      <c r="H54" s="11" t="str">
        <f t="shared" si="1"/>
        <v>Submitted</v>
      </c>
    </row>
    <row r="55" spans="1:8" ht="18" customHeight="1" x14ac:dyDescent="0.25">
      <c r="A55" s="4" t="s">
        <v>72</v>
      </c>
      <c r="B55" s="5" t="s">
        <v>13</v>
      </c>
      <c r="C55" s="5" t="s">
        <v>70</v>
      </c>
      <c r="D55" s="6"/>
      <c r="E55" s="6"/>
      <c r="F55" s="6"/>
      <c r="G55" s="49" t="s">
        <v>118</v>
      </c>
      <c r="H55" s="7" t="str">
        <f t="shared" si="1"/>
        <v>Pending</v>
      </c>
    </row>
    <row r="56" spans="1:8" ht="18" customHeight="1" x14ac:dyDescent="0.25">
      <c r="A56" s="8" t="s">
        <v>73</v>
      </c>
      <c r="B56" s="9" t="s">
        <v>13</v>
      </c>
      <c r="C56" s="9" t="s">
        <v>70</v>
      </c>
      <c r="D56" s="10" t="s">
        <v>11</v>
      </c>
      <c r="E56" s="10" t="s">
        <v>11</v>
      </c>
      <c r="F56" s="10" t="s">
        <v>11</v>
      </c>
      <c r="G56" s="50" t="s">
        <v>116</v>
      </c>
      <c r="H56" s="11" t="str">
        <f t="shared" si="1"/>
        <v>Complete</v>
      </c>
    </row>
    <row r="57" spans="1:8" ht="18" customHeight="1" x14ac:dyDescent="0.25">
      <c r="A57" s="4" t="s">
        <v>74</v>
      </c>
      <c r="B57" s="5" t="s">
        <v>13</v>
      </c>
      <c r="C57" s="5" t="s">
        <v>70</v>
      </c>
      <c r="D57" s="6" t="s">
        <v>11</v>
      </c>
      <c r="E57" s="6" t="s">
        <v>11</v>
      </c>
      <c r="F57" s="6" t="s">
        <v>11</v>
      </c>
      <c r="G57" s="49" t="s">
        <v>110</v>
      </c>
      <c r="H57" s="7" t="str">
        <f t="shared" si="1"/>
        <v>Complete</v>
      </c>
    </row>
    <row r="58" spans="1:8" ht="18" customHeight="1" x14ac:dyDescent="0.25">
      <c r="A58" s="57" t="s">
        <v>47</v>
      </c>
      <c r="B58" s="58" t="s">
        <v>24</v>
      </c>
      <c r="C58" s="58" t="s">
        <v>70</v>
      </c>
      <c r="D58" s="59" t="s">
        <v>11</v>
      </c>
      <c r="E58" s="59" t="s">
        <v>11</v>
      </c>
      <c r="F58" s="59"/>
      <c r="G58" s="60" t="s">
        <v>116</v>
      </c>
      <c r="H58" s="7" t="str">
        <f t="shared" si="1"/>
        <v>Reviewed</v>
      </c>
    </row>
    <row r="59" spans="1:8" ht="18" customHeight="1" x14ac:dyDescent="0.25">
      <c r="A59" s="4" t="s">
        <v>48</v>
      </c>
      <c r="B59" s="5" t="s">
        <v>24</v>
      </c>
      <c r="C59" s="5" t="s">
        <v>70</v>
      </c>
      <c r="D59" s="6" t="s">
        <v>11</v>
      </c>
      <c r="E59" s="6" t="s">
        <v>11</v>
      </c>
      <c r="F59" s="6"/>
      <c r="G59" s="49" t="s">
        <v>116</v>
      </c>
      <c r="H59" s="7" t="str">
        <f t="shared" si="1"/>
        <v>Reviewed</v>
      </c>
    </row>
    <row r="60" spans="1:8" ht="18" customHeight="1" x14ac:dyDescent="0.25">
      <c r="A60" s="8" t="s">
        <v>75</v>
      </c>
      <c r="B60" s="9" t="s">
        <v>13</v>
      </c>
      <c r="C60" s="9" t="s">
        <v>70</v>
      </c>
      <c r="D60" s="6" t="s">
        <v>11</v>
      </c>
      <c r="E60" s="10" t="s">
        <v>11</v>
      </c>
      <c r="F60" s="10" t="s">
        <v>11</v>
      </c>
      <c r="G60" s="50" t="s">
        <v>111</v>
      </c>
      <c r="H60" s="11" t="str">
        <f t="shared" si="1"/>
        <v>Complete</v>
      </c>
    </row>
    <row r="61" spans="1:8" ht="18" customHeight="1" x14ac:dyDescent="0.25">
      <c r="A61" s="4" t="s">
        <v>76</v>
      </c>
      <c r="B61" s="5" t="s">
        <v>13</v>
      </c>
      <c r="C61" s="5" t="s">
        <v>70</v>
      </c>
      <c r="D61" s="6" t="s">
        <v>11</v>
      </c>
      <c r="E61" s="6" t="s">
        <v>11</v>
      </c>
      <c r="F61" s="6" t="s">
        <v>11</v>
      </c>
      <c r="G61" s="49" t="s">
        <v>112</v>
      </c>
      <c r="H61" s="7" t="str">
        <f>IF(AND(D60="✓",E61="✓",F61="✓"),"Complete",IF(E61="✓","Reviewed",IF(D60="✓","Submitted","Pending")))</f>
        <v>Complete</v>
      </c>
    </row>
    <row r="62" spans="1:8" ht="18" customHeight="1" x14ac:dyDescent="0.25">
      <c r="A62" s="8" t="s">
        <v>77</v>
      </c>
      <c r="B62" s="9" t="s">
        <v>13</v>
      </c>
      <c r="C62" s="9" t="s">
        <v>70</v>
      </c>
      <c r="D62" s="10" t="s">
        <v>11</v>
      </c>
      <c r="E62" s="10" t="s">
        <v>11</v>
      </c>
      <c r="F62" s="10" t="s">
        <v>11</v>
      </c>
      <c r="G62" s="50" t="s">
        <v>115</v>
      </c>
      <c r="H62" s="11" t="str">
        <f t="shared" si="1"/>
        <v>Complete</v>
      </c>
    </row>
    <row r="63" spans="1:8" ht="18" customHeight="1" x14ac:dyDescent="0.25">
      <c r="A63" s="4" t="s">
        <v>78</v>
      </c>
      <c r="B63" s="5" t="s">
        <v>13</v>
      </c>
      <c r="C63" s="5" t="s">
        <v>70</v>
      </c>
      <c r="D63" s="6" t="s">
        <v>11</v>
      </c>
      <c r="E63" s="6"/>
      <c r="F63" s="6"/>
      <c r="G63" s="49" t="s">
        <v>113</v>
      </c>
      <c r="H63" s="7" t="str">
        <f t="shared" si="1"/>
        <v>Submitted</v>
      </c>
    </row>
    <row r="64" spans="1:8" ht="18" customHeight="1" x14ac:dyDescent="0.25">
      <c r="A64" s="8" t="s">
        <v>79</v>
      </c>
      <c r="B64" s="9" t="s">
        <v>13</v>
      </c>
      <c r="C64" s="9" t="s">
        <v>70</v>
      </c>
      <c r="D64" s="10" t="s">
        <v>11</v>
      </c>
      <c r="E64" s="10" t="s">
        <v>11</v>
      </c>
      <c r="F64" s="10" t="s">
        <v>11</v>
      </c>
      <c r="G64" s="50" t="s">
        <v>111</v>
      </c>
      <c r="H64" s="11" t="str">
        <f t="shared" si="1"/>
        <v>Complete</v>
      </c>
    </row>
    <row r="65" spans="1:8" ht="18" customHeight="1" x14ac:dyDescent="0.25">
      <c r="A65" s="4" t="s">
        <v>80</v>
      </c>
      <c r="B65" s="5" t="s">
        <v>20</v>
      </c>
      <c r="C65" s="5" t="s">
        <v>70</v>
      </c>
      <c r="D65" s="6" t="s">
        <v>11</v>
      </c>
      <c r="E65" s="6"/>
      <c r="F65" s="6"/>
      <c r="G65" s="49" t="s">
        <v>119</v>
      </c>
      <c r="H65" s="7" t="str">
        <f t="shared" si="1"/>
        <v>Submitted</v>
      </c>
    </row>
    <row r="66" spans="1:8" ht="18" customHeight="1" x14ac:dyDescent="0.25">
      <c r="A66" s="12" t="s">
        <v>81</v>
      </c>
      <c r="B66" s="13" t="s">
        <v>9</v>
      </c>
      <c r="C66" s="52" t="s">
        <v>123</v>
      </c>
      <c r="D66" s="14"/>
      <c r="E66" s="14"/>
      <c r="F66" s="14"/>
      <c r="G66" s="48" t="s">
        <v>112</v>
      </c>
      <c r="H66" s="15" t="str">
        <f t="shared" si="1"/>
        <v>Pending</v>
      </c>
    </row>
    <row r="67" spans="1:8" ht="18" customHeight="1" x14ac:dyDescent="0.25">
      <c r="A67" s="4" t="s">
        <v>82</v>
      </c>
      <c r="B67" s="5" t="s">
        <v>9</v>
      </c>
      <c r="C67" s="5" t="s">
        <v>123</v>
      </c>
      <c r="D67" s="6" t="s">
        <v>11</v>
      </c>
      <c r="E67" s="6" t="s">
        <v>11</v>
      </c>
      <c r="F67" s="6" t="s">
        <v>11</v>
      </c>
      <c r="G67" s="49" t="s">
        <v>118</v>
      </c>
      <c r="H67" s="7" t="str">
        <f t="shared" ref="H67:H78" si="2">IF(AND(D67="✓",E67="✓",F67="✓"),"Complete",IF(E67="✓","Reviewed",IF(D67="✓","Submitted","Pending")))</f>
        <v>Complete</v>
      </c>
    </row>
    <row r="68" spans="1:8" ht="18" customHeight="1" x14ac:dyDescent="0.25">
      <c r="A68" s="8" t="s">
        <v>83</v>
      </c>
      <c r="B68" s="9" t="s">
        <v>9</v>
      </c>
      <c r="C68" s="9" t="s">
        <v>123</v>
      </c>
      <c r="D68" s="10" t="s">
        <v>11</v>
      </c>
      <c r="E68" s="10"/>
      <c r="F68" s="10"/>
      <c r="G68" s="50" t="s">
        <v>110</v>
      </c>
      <c r="H68" s="11" t="str">
        <f t="shared" si="2"/>
        <v>Submitted</v>
      </c>
    </row>
    <row r="69" spans="1:8" ht="18" customHeight="1" x14ac:dyDescent="0.25">
      <c r="A69" s="53" t="s">
        <v>44</v>
      </c>
      <c r="B69" s="54" t="s">
        <v>20</v>
      </c>
      <c r="C69" s="54" t="s">
        <v>123</v>
      </c>
      <c r="D69" s="55" t="s">
        <v>11</v>
      </c>
      <c r="E69" s="55" t="s">
        <v>11</v>
      </c>
      <c r="F69" s="55" t="s">
        <v>11</v>
      </c>
      <c r="G69" s="56" t="s">
        <v>111</v>
      </c>
      <c r="H69" s="11" t="str">
        <f t="shared" si="2"/>
        <v>Complete</v>
      </c>
    </row>
    <row r="70" spans="1:8" ht="18" customHeight="1" x14ac:dyDescent="0.25">
      <c r="A70" s="8" t="s">
        <v>45</v>
      </c>
      <c r="B70" s="9" t="s">
        <v>20</v>
      </c>
      <c r="C70" s="9" t="s">
        <v>123</v>
      </c>
      <c r="D70" s="10"/>
      <c r="E70" s="10"/>
      <c r="F70" s="10"/>
      <c r="G70" s="50" t="s">
        <v>120</v>
      </c>
      <c r="H70" s="11" t="str">
        <f t="shared" si="2"/>
        <v>Pending</v>
      </c>
    </row>
    <row r="71" spans="1:8" ht="18" customHeight="1" x14ac:dyDescent="0.25">
      <c r="A71" s="4" t="s">
        <v>84</v>
      </c>
      <c r="B71" s="5" t="s">
        <v>13</v>
      </c>
      <c r="C71" s="5" t="s">
        <v>123</v>
      </c>
      <c r="D71" s="6" t="s">
        <v>11</v>
      </c>
      <c r="E71" s="6" t="s">
        <v>11</v>
      </c>
      <c r="F71" s="6" t="s">
        <v>11</v>
      </c>
      <c r="G71" s="49" t="s">
        <v>109</v>
      </c>
      <c r="H71" s="7" t="str">
        <f t="shared" si="2"/>
        <v>Complete</v>
      </c>
    </row>
    <row r="72" spans="1:8" ht="18" customHeight="1" x14ac:dyDescent="0.25">
      <c r="A72" s="8" t="s">
        <v>85</v>
      </c>
      <c r="B72" s="9" t="s">
        <v>13</v>
      </c>
      <c r="C72" s="9" t="s">
        <v>123</v>
      </c>
      <c r="D72" s="10" t="s">
        <v>11</v>
      </c>
      <c r="E72" s="10" t="s">
        <v>11</v>
      </c>
      <c r="F72" s="10" t="s">
        <v>11</v>
      </c>
      <c r="G72" s="50" t="s">
        <v>117</v>
      </c>
      <c r="H72" s="11" t="str">
        <f t="shared" si="2"/>
        <v>Complete</v>
      </c>
    </row>
    <row r="73" spans="1:8" ht="18" customHeight="1" x14ac:dyDescent="0.25">
      <c r="A73" s="4" t="s">
        <v>86</v>
      </c>
      <c r="B73" s="5" t="s">
        <v>13</v>
      </c>
      <c r="C73" s="5" t="s">
        <v>123</v>
      </c>
      <c r="D73" s="6" t="s">
        <v>11</v>
      </c>
      <c r="E73" s="6" t="s">
        <v>11</v>
      </c>
      <c r="F73" s="6" t="s">
        <v>11</v>
      </c>
      <c r="G73" s="49" t="s">
        <v>116</v>
      </c>
      <c r="H73" s="7" t="str">
        <f t="shared" si="2"/>
        <v>Complete</v>
      </c>
    </row>
    <row r="74" spans="1:8" ht="18" customHeight="1" x14ac:dyDescent="0.25">
      <c r="A74" s="8" t="s">
        <v>87</v>
      </c>
      <c r="B74" s="9" t="s">
        <v>13</v>
      </c>
      <c r="C74" s="9" t="s">
        <v>123</v>
      </c>
      <c r="D74" s="10" t="s">
        <v>11</v>
      </c>
      <c r="E74" s="10" t="s">
        <v>11</v>
      </c>
      <c r="F74" s="10" t="s">
        <v>11</v>
      </c>
      <c r="G74" s="50" t="s">
        <v>113</v>
      </c>
      <c r="H74" s="11" t="str">
        <f t="shared" si="2"/>
        <v>Complete</v>
      </c>
    </row>
    <row r="75" spans="1:8" ht="18" customHeight="1" x14ac:dyDescent="0.25">
      <c r="A75" s="4" t="s">
        <v>88</v>
      </c>
      <c r="B75" s="5" t="s">
        <v>20</v>
      </c>
      <c r="C75" s="5" t="s">
        <v>123</v>
      </c>
      <c r="D75" s="6" t="s">
        <v>11</v>
      </c>
      <c r="E75" s="6" t="s">
        <v>11</v>
      </c>
      <c r="F75" s="6" t="s">
        <v>11</v>
      </c>
      <c r="G75" s="49" t="s">
        <v>119</v>
      </c>
      <c r="H75" s="7" t="str">
        <f t="shared" si="2"/>
        <v>Complete</v>
      </c>
    </row>
    <row r="76" spans="1:8" ht="18" customHeight="1" x14ac:dyDescent="0.25">
      <c r="A76" s="8" t="s">
        <v>89</v>
      </c>
      <c r="B76" s="9" t="s">
        <v>20</v>
      </c>
      <c r="C76" s="9" t="s">
        <v>123</v>
      </c>
      <c r="D76" s="10" t="s">
        <v>11</v>
      </c>
      <c r="E76" s="10" t="s">
        <v>11</v>
      </c>
      <c r="F76" s="10" t="s">
        <v>11</v>
      </c>
      <c r="G76" s="50" t="s">
        <v>110</v>
      </c>
      <c r="H76" s="11" t="str">
        <f t="shared" si="2"/>
        <v>Complete</v>
      </c>
    </row>
    <row r="77" spans="1:8" ht="18" customHeight="1" x14ac:dyDescent="0.25">
      <c r="A77" s="4" t="s">
        <v>90</v>
      </c>
      <c r="B77" s="5" t="s">
        <v>24</v>
      </c>
      <c r="C77" s="5" t="s">
        <v>123</v>
      </c>
      <c r="D77" s="6" t="s">
        <v>11</v>
      </c>
      <c r="E77" s="6" t="s">
        <v>11</v>
      </c>
      <c r="F77" s="6" t="s">
        <v>11</v>
      </c>
      <c r="G77" s="49" t="s">
        <v>109</v>
      </c>
      <c r="H77" s="7" t="str">
        <f t="shared" si="2"/>
        <v>Complete</v>
      </c>
    </row>
    <row r="78" spans="1:8" ht="18" customHeight="1" x14ac:dyDescent="0.25">
      <c r="A78" s="8" t="s">
        <v>91</v>
      </c>
      <c r="B78" s="9" t="s">
        <v>24</v>
      </c>
      <c r="C78" s="9" t="s">
        <v>123</v>
      </c>
      <c r="D78" s="10" t="s">
        <v>11</v>
      </c>
      <c r="E78" s="10" t="s">
        <v>11</v>
      </c>
      <c r="F78" s="10" t="s">
        <v>11</v>
      </c>
      <c r="G78" s="50" t="s">
        <v>115</v>
      </c>
      <c r="H78" s="11" t="str">
        <f t="shared" si="2"/>
        <v>Complete</v>
      </c>
    </row>
    <row r="80" spans="1:8" ht="13.5" customHeight="1" x14ac:dyDescent="0.25">
      <c r="A80" s="70" t="s">
        <v>92</v>
      </c>
      <c r="B80" s="70"/>
      <c r="C80" s="70"/>
      <c r="D80" s="70"/>
      <c r="E80" s="70"/>
      <c r="F80" s="70"/>
      <c r="G80" s="70"/>
      <c r="H80" s="70"/>
    </row>
  </sheetData>
  <mergeCells count="2">
    <mergeCell ref="A1:H1"/>
    <mergeCell ref="A80:H80"/>
  </mergeCells>
  <conditionalFormatting sqref="H5:H78">
    <cfRule type="expression" dxfId="3" priority="2">
      <formula>H5="Complete"</formula>
    </cfRule>
    <cfRule type="expression" dxfId="2" priority="3">
      <formula>H5="Reviewed"</formula>
    </cfRule>
    <cfRule type="expression" dxfId="1" priority="4">
      <formula>H5="Submitted"</formula>
    </cfRule>
    <cfRule type="expression" dxfId="0" priority="5">
      <formula>H5="Pending"</formula>
    </cfRule>
  </conditionalFormatting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B2A4A"/>
  </sheetPr>
  <dimension ref="A1:M39"/>
  <sheetViews>
    <sheetView showGridLines="0" zoomScaleNormal="100" workbookViewId="0">
      <selection activeCell="L8" sqref="L8"/>
    </sheetView>
  </sheetViews>
  <sheetFormatPr defaultColWidth="8.5703125" defaultRowHeight="15" x14ac:dyDescent="0.25"/>
  <cols>
    <col min="1" max="1" width="1" customWidth="1"/>
    <col min="2" max="2" width="26" customWidth="1"/>
    <col min="3" max="7" width="12" customWidth="1"/>
    <col min="8" max="8" width="0.140625" customWidth="1"/>
  </cols>
  <sheetData>
    <row r="1" spans="1:8" ht="6" customHeight="1" x14ac:dyDescent="0.25">
      <c r="A1" s="21"/>
      <c r="B1" s="21"/>
      <c r="C1" s="21"/>
      <c r="D1" s="21"/>
      <c r="E1" s="21"/>
      <c r="F1" s="21"/>
      <c r="G1" s="21"/>
      <c r="H1" s="21"/>
    </row>
    <row r="2" spans="1:8" ht="45.75" customHeight="1" x14ac:dyDescent="0.25">
      <c r="A2" s="71" t="s">
        <v>130</v>
      </c>
      <c r="B2" s="72"/>
      <c r="C2" s="72"/>
      <c r="D2" s="72"/>
      <c r="E2" s="72"/>
      <c r="F2" s="72"/>
      <c r="G2" s="72"/>
      <c r="H2" s="72"/>
    </row>
    <row r="3" spans="1:8" ht="6" customHeight="1" x14ac:dyDescent="0.25">
      <c r="A3" s="1"/>
      <c r="B3" s="1"/>
      <c r="C3" s="1"/>
      <c r="D3" s="1"/>
      <c r="E3" s="1"/>
      <c r="F3" s="1"/>
      <c r="G3" s="1"/>
      <c r="H3" s="1"/>
    </row>
    <row r="4" spans="1:8" ht="21.75" customHeight="1" x14ac:dyDescent="0.25">
      <c r="B4" s="73" t="s">
        <v>138</v>
      </c>
      <c r="C4" s="74"/>
      <c r="D4" s="74"/>
      <c r="E4" s="74"/>
      <c r="F4" s="74"/>
      <c r="G4" s="74"/>
    </row>
    <row r="5" spans="1:8" ht="27.75" customHeight="1" x14ac:dyDescent="0.25">
      <c r="B5" s="22" t="s">
        <v>93</v>
      </c>
      <c r="C5" s="22" t="s">
        <v>3</v>
      </c>
      <c r="D5" s="22" t="s">
        <v>4</v>
      </c>
      <c r="E5" s="22" t="s">
        <v>5</v>
      </c>
      <c r="F5" s="22" t="s">
        <v>94</v>
      </c>
      <c r="G5" s="22" t="s">
        <v>95</v>
      </c>
    </row>
    <row r="6" spans="1:8" ht="37.5" customHeight="1" x14ac:dyDescent="0.25">
      <c r="B6" s="23">
        <f>'Report Tracker'!C4</f>
        <v>74</v>
      </c>
      <c r="C6" s="24">
        <f>'Report Tracker'!D4</f>
        <v>67</v>
      </c>
      <c r="D6" s="24">
        <f>'Report Tracker'!E4</f>
        <v>45</v>
      </c>
      <c r="E6" s="24">
        <f>'Report Tracker'!F4</f>
        <v>42</v>
      </c>
      <c r="F6" s="25">
        <f>IF('Report Tracker'!C4&gt;0,'Report Tracker'!F4/'Report Tracker'!C4,0)</f>
        <v>0.56756756756756754</v>
      </c>
      <c r="G6" s="26">
        <f>'Report Tracker'!C4-'Report Tracker'!F4</f>
        <v>32</v>
      </c>
    </row>
    <row r="7" spans="1:8" ht="4.5" customHeight="1" x14ac:dyDescent="0.25">
      <c r="A7" s="27"/>
      <c r="B7" s="27"/>
      <c r="C7" s="27"/>
      <c r="D7" s="27"/>
      <c r="E7" s="27"/>
      <c r="F7" s="27"/>
      <c r="G7" s="27"/>
      <c r="H7" s="27"/>
    </row>
    <row r="8" spans="1:8" ht="21.75" customHeight="1" x14ac:dyDescent="0.25">
      <c r="B8" s="74" t="s">
        <v>96</v>
      </c>
      <c r="C8" s="74"/>
      <c r="D8" s="74"/>
      <c r="E8" s="74"/>
      <c r="F8" s="74"/>
      <c r="G8" s="74"/>
    </row>
    <row r="9" spans="1:8" ht="21.75" customHeight="1" x14ac:dyDescent="0.25">
      <c r="B9" s="28" t="s">
        <v>1</v>
      </c>
      <c r="C9" s="28" t="s">
        <v>97</v>
      </c>
      <c r="D9" s="28" t="s">
        <v>3</v>
      </c>
      <c r="E9" s="28" t="s">
        <v>4</v>
      </c>
      <c r="F9" s="28" t="s">
        <v>98</v>
      </c>
      <c r="G9" s="28" t="s">
        <v>99</v>
      </c>
    </row>
    <row r="10" spans="1:8" ht="22.5" customHeight="1" x14ac:dyDescent="0.25">
      <c r="B10" s="29" t="s">
        <v>9</v>
      </c>
      <c r="C10" s="5">
        <f>COUNTIF('Report Tracker'!B:B,"Tapiwa")</f>
        <v>18</v>
      </c>
      <c r="D10" s="5">
        <f>COUNTIFS('Report Tracker'!B:B,"Tapiwa",'Report Tracker'!D:D,"✓")</f>
        <v>15</v>
      </c>
      <c r="E10" s="5">
        <f>COUNTIFS('Report Tracker'!B:B,"Tapiwa",'Report Tracker'!E:E,"✓")</f>
        <v>7</v>
      </c>
      <c r="F10" s="5">
        <f>COUNTIFS('Report Tracker'!B:B,"Tapiwa",'Report Tracker'!F:F,"✓")</f>
        <v>7</v>
      </c>
      <c r="G10" s="30">
        <f>IF(C10&gt;0,F10/C10,0)</f>
        <v>0.3888888888888889</v>
      </c>
    </row>
    <row r="11" spans="1:8" ht="22.5" customHeight="1" x14ac:dyDescent="0.25">
      <c r="B11" s="31" t="s">
        <v>13</v>
      </c>
      <c r="C11" s="9">
        <f>COUNTIF('Report Tracker'!B:B,"Tari")</f>
        <v>22</v>
      </c>
      <c r="D11" s="9">
        <f>COUNTIFS('Report Tracker'!B:B,"Tari",'Report Tracker'!D:D,"✓")</f>
        <v>20</v>
      </c>
      <c r="E11" s="9">
        <f>COUNTIFS('Report Tracker'!B:B,"Tari",'Report Tracker'!E:E,"✓")</f>
        <v>16</v>
      </c>
      <c r="F11" s="9">
        <f>COUNTIFS('Report Tracker'!B:B,"Tari",'Report Tracker'!F:F,"✓")</f>
        <v>15</v>
      </c>
      <c r="G11" s="32">
        <f>IF(C11&gt;0,F11/C11,0)</f>
        <v>0.68181818181818177</v>
      </c>
    </row>
    <row r="12" spans="1:8" ht="22.5" customHeight="1" x14ac:dyDescent="0.25">
      <c r="B12" s="29" t="s">
        <v>20</v>
      </c>
      <c r="C12" s="5">
        <f>COUNTIF('Report Tracker'!B:B,"Tatenda")</f>
        <v>18</v>
      </c>
      <c r="D12" s="5">
        <f>COUNTIFS('Report Tracker'!B:B,"Tatenda",'Report Tracker'!D:D,"✓")</f>
        <v>16</v>
      </c>
      <c r="E12" s="5">
        <f>COUNTIFS('Report Tracker'!B:B,"Tatenda",'Report Tracker'!E:E,"✓")</f>
        <v>6</v>
      </c>
      <c r="F12" s="5">
        <f>COUNTIFS('Report Tracker'!B:B,"Tatenda",'Report Tracker'!F:F,"✓")</f>
        <v>6</v>
      </c>
      <c r="G12" s="30">
        <f>IF(C12&gt;0,F12/C12,0)</f>
        <v>0.33333333333333331</v>
      </c>
    </row>
    <row r="13" spans="1:8" ht="22.5" customHeight="1" x14ac:dyDescent="0.25">
      <c r="B13" s="61" t="s">
        <v>125</v>
      </c>
      <c r="C13" s="9">
        <f>COUNTIF('Report Tracker'!B:B,"Tino")</f>
        <v>16</v>
      </c>
      <c r="D13" s="9">
        <f>COUNTIFS('Report Tracker'!B:B,"Tino",'Report Tracker'!D:D,"✓")</f>
        <v>16</v>
      </c>
      <c r="E13" s="9">
        <f>COUNTIFS('Report Tracker'!B:B,"Tino",'Report Tracker'!E:E,"✓")</f>
        <v>16</v>
      </c>
      <c r="F13" s="9">
        <f>COUNTIFS('Report Tracker'!B:B,"Tino",'Report Tracker'!F:F,"✓")</f>
        <v>14</v>
      </c>
      <c r="G13" s="32">
        <f>IF(C13&gt;0,F13/C13,0)</f>
        <v>0.875</v>
      </c>
    </row>
    <row r="14" spans="1:8" ht="22.5" customHeight="1" x14ac:dyDescent="0.25">
      <c r="B14" s="33" t="s">
        <v>100</v>
      </c>
      <c r="C14" s="34">
        <f>SUM(C10:C13)</f>
        <v>74</v>
      </c>
      <c r="D14" s="34">
        <f>SUM(D10:D13)</f>
        <v>67</v>
      </c>
      <c r="E14" s="34">
        <f>SUM(E10:E13)</f>
        <v>45</v>
      </c>
      <c r="F14" s="34">
        <f>SUM(F10:F13)</f>
        <v>42</v>
      </c>
      <c r="G14" s="35">
        <f>IF(C14&gt;0,F14/C14,0)</f>
        <v>0.56756756756756754</v>
      </c>
    </row>
    <row r="15" spans="1:8" ht="4.5" customHeight="1" x14ac:dyDescent="0.25">
      <c r="A15" s="27"/>
      <c r="B15" s="27"/>
      <c r="C15" s="27"/>
      <c r="D15" s="27"/>
      <c r="E15" s="27"/>
      <c r="F15" s="27"/>
      <c r="G15" s="27"/>
      <c r="H15" s="27"/>
    </row>
    <row r="16" spans="1:8" ht="21.75" customHeight="1" x14ac:dyDescent="0.25">
      <c r="B16" s="74" t="s">
        <v>101</v>
      </c>
      <c r="C16" s="74"/>
      <c r="D16" s="74"/>
      <c r="E16" s="74"/>
      <c r="F16" s="74"/>
      <c r="G16" s="74"/>
    </row>
    <row r="17" spans="1:13" ht="21.75" customHeight="1" x14ac:dyDescent="0.25">
      <c r="B17" s="28" t="s">
        <v>2</v>
      </c>
      <c r="C17" s="28" t="s">
        <v>97</v>
      </c>
      <c r="D17" s="28" t="s">
        <v>3</v>
      </c>
      <c r="E17" s="28" t="s">
        <v>4</v>
      </c>
      <c r="F17" s="28" t="s">
        <v>98</v>
      </c>
      <c r="G17" s="28" t="s">
        <v>99</v>
      </c>
    </row>
    <row r="18" spans="1:13" ht="22.5" customHeight="1" x14ac:dyDescent="0.25">
      <c r="B18" s="29" t="s">
        <v>10</v>
      </c>
      <c r="C18" s="5">
        <f>COUNTIF('Report Tracker'!C:C,"Anotida")</f>
        <v>13</v>
      </c>
      <c r="D18" s="5">
        <f>COUNTIFS('Report Tracker'!C:C,"Anotida",'Report Tracker'!D:D,"✓")</f>
        <v>13</v>
      </c>
      <c r="E18" s="5">
        <f>COUNTIFS('Report Tracker'!C:C,"Anotida",'Report Tracker'!E:E,"✓")</f>
        <v>9</v>
      </c>
      <c r="F18" s="5">
        <f>COUNTIFS('Report Tracker'!C:C,"Anotida",'Report Tracker'!F:F,"✓")</f>
        <v>8</v>
      </c>
      <c r="G18" s="30">
        <f>IF(C18&gt;0,D18/C18,0)</f>
        <v>1</v>
      </c>
    </row>
    <row r="19" spans="1:13" ht="22.5" customHeight="1" x14ac:dyDescent="0.25">
      <c r="B19" s="31" t="s">
        <v>28</v>
      </c>
      <c r="C19" s="9">
        <f>COUNTIF('Report Tracker'!C:C,"Arnold")</f>
        <v>12</v>
      </c>
      <c r="D19" s="9">
        <f>COUNTIFS('Report Tracker'!C:C,"Arnold",'Report Tracker'!D:D,"✓")</f>
        <v>11</v>
      </c>
      <c r="E19" s="9">
        <f>COUNTIFS('Report Tracker'!C:C,"Arnold",'Report Tracker'!E:E,"✓")</f>
        <v>10</v>
      </c>
      <c r="F19" s="9">
        <f>COUNTIFS('Report Tracker'!C:C,"Arnold",'Report Tracker'!F:F,"✓")</f>
        <v>10</v>
      </c>
      <c r="G19" s="32">
        <f t="shared" ref="G19:G24" si="0">IF(C19&gt;0,D19/C19,0)</f>
        <v>0.91666666666666663</v>
      </c>
    </row>
    <row r="20" spans="1:13" ht="22.5" customHeight="1" x14ac:dyDescent="0.25">
      <c r="B20" s="29" t="s">
        <v>123</v>
      </c>
      <c r="C20" s="5">
        <f>COUNTIF('Report Tracker'!C:C,"William")</f>
        <v>13</v>
      </c>
      <c r="D20" s="5">
        <f>COUNTIFS('Report Tracker'!C:C,"William",'Report Tracker'!D:D,"✓")</f>
        <v>11</v>
      </c>
      <c r="E20" s="5">
        <f>COUNTIFS('Report Tracker'!C:C,"William",'Report Tracker'!E:E,"✓")</f>
        <v>10</v>
      </c>
      <c r="F20" s="5">
        <f>COUNTIFS('Report Tracker'!C:C,"William",'Report Tracker'!F:F,"✓")</f>
        <v>10</v>
      </c>
      <c r="G20" s="30">
        <f t="shared" si="0"/>
        <v>0.84615384615384615</v>
      </c>
    </row>
    <row r="21" spans="1:13" ht="22.5" customHeight="1" x14ac:dyDescent="0.25">
      <c r="B21" s="31" t="s">
        <v>50</v>
      </c>
      <c r="C21" s="9">
        <f>COUNTIF('Report Tracker'!C:C,"Elizabeth")</f>
        <v>12</v>
      </c>
      <c r="D21" s="9">
        <f>COUNTIFS('Report Tracker'!C:C,"Elizabeth",'Report Tracker'!D:D,"✓")</f>
        <v>11</v>
      </c>
      <c r="E21" s="9">
        <f>COUNTIFS('Report Tracker'!C:C,"Elizabeth",'Report Tracker'!E:E,"✓")</f>
        <v>4</v>
      </c>
      <c r="F21" s="9">
        <f>COUNTIFS('Report Tracker'!C:C,"Elizabeth",'Report Tracker'!F:F,"✓")</f>
        <v>4</v>
      </c>
      <c r="G21" s="32">
        <f t="shared" si="0"/>
        <v>0.91666666666666663</v>
      </c>
      <c r="M21" s="68">
        <f>11/74</f>
        <v>0.14864864864864866</v>
      </c>
    </row>
    <row r="22" spans="1:13" ht="22.5" customHeight="1" x14ac:dyDescent="0.25">
      <c r="B22" s="29" t="s">
        <v>60</v>
      </c>
      <c r="C22" s="5">
        <f>COUNTIF('Report Tracker'!C:C,"Elvis")</f>
        <v>11</v>
      </c>
      <c r="D22" s="5">
        <f>COUNTIFS('Report Tracker'!C:C,"Elvis",'Report Tracker'!D:D,"✓")</f>
        <v>10</v>
      </c>
      <c r="E22" s="5">
        <f>COUNTIFS('Report Tracker'!C:C,"Elvis",'Report Tracker'!E:E,"✓")</f>
        <v>4</v>
      </c>
      <c r="F22" s="5">
        <f>COUNTIFS('Report Tracker'!C:C,"Elvis",'Report Tracker'!F:F,"✓")</f>
        <v>4</v>
      </c>
      <c r="G22" s="30">
        <f t="shared" si="0"/>
        <v>0.90909090909090906</v>
      </c>
    </row>
    <row r="23" spans="1:13" ht="22.5" customHeight="1" x14ac:dyDescent="0.25">
      <c r="B23" s="31" t="s">
        <v>70</v>
      </c>
      <c r="C23" s="9">
        <f>COUNTIF('Report Tracker'!C:C,"Godfrey")</f>
        <v>13</v>
      </c>
      <c r="D23" s="9">
        <f>COUNTIFS('Report Tracker'!C:C,"Godfrey",'Report Tracker'!D:D,"✓")</f>
        <v>11</v>
      </c>
      <c r="E23" s="9">
        <f>COUNTIFS('Report Tracker'!C:C,"Godfrey",'Report Tracker'!E:E,"✓")</f>
        <v>8</v>
      </c>
      <c r="F23" s="9">
        <f>COUNTIFS('Report Tracker'!C:C,"Godfrey",'Report Tracker'!F:F,"✓")</f>
        <v>6</v>
      </c>
      <c r="G23" s="32">
        <f t="shared" si="0"/>
        <v>0.84615384615384615</v>
      </c>
    </row>
    <row r="24" spans="1:13" ht="22.5" customHeight="1" x14ac:dyDescent="0.25">
      <c r="B24" s="33" t="s">
        <v>100</v>
      </c>
      <c r="C24" s="34">
        <f>SUM(C18:C23)</f>
        <v>74</v>
      </c>
      <c r="D24" s="34">
        <f>SUM(D18:D23)</f>
        <v>67</v>
      </c>
      <c r="E24" s="34">
        <f>SUM(E18:E23)</f>
        <v>45</v>
      </c>
      <c r="F24" s="34">
        <f>SUM(F18:F23)</f>
        <v>42</v>
      </c>
      <c r="G24" s="35">
        <f t="shared" si="0"/>
        <v>0.90540540540540537</v>
      </c>
    </row>
    <row r="25" spans="1:13" ht="4.5" customHeight="1" x14ac:dyDescent="0.25">
      <c r="A25" s="27"/>
      <c r="B25" s="27"/>
      <c r="C25" s="27"/>
      <c r="D25" s="27"/>
      <c r="E25" s="27"/>
      <c r="F25" s="27"/>
      <c r="G25" s="27"/>
      <c r="H25" s="27"/>
    </row>
    <row r="26" spans="1:13" ht="21.75" customHeight="1" x14ac:dyDescent="0.25"/>
    <row r="27" spans="1:13" ht="21.75" customHeight="1" x14ac:dyDescent="0.25"/>
    <row r="28" spans="1:13" ht="18.75" customHeight="1" x14ac:dyDescent="0.25"/>
    <row r="29" spans="1:13" ht="18.75" customHeight="1" x14ac:dyDescent="0.25"/>
    <row r="30" spans="1:13" ht="18.75" customHeight="1" x14ac:dyDescent="0.25"/>
    <row r="31" spans="1:13" ht="18.75" customHeight="1" x14ac:dyDescent="0.25"/>
    <row r="32" spans="1:13" ht="18.75" customHeight="1" x14ac:dyDescent="0.25"/>
    <row r="33" ht="18.75" customHeight="1" x14ac:dyDescent="0.25"/>
    <row r="34" ht="18.75" customHeight="1" x14ac:dyDescent="0.25"/>
    <row r="35" ht="18.75" customHeight="1" x14ac:dyDescent="0.25"/>
    <row r="36" ht="18.75" customHeight="1" x14ac:dyDescent="0.25"/>
    <row r="37" ht="18.75" customHeight="1" x14ac:dyDescent="0.25"/>
    <row r="38" ht="18.75" customHeight="1" x14ac:dyDescent="0.25"/>
    <row r="39" ht="18.75" customHeight="1" x14ac:dyDescent="0.25"/>
  </sheetData>
  <mergeCells count="4">
    <mergeCell ref="A2:H2"/>
    <mergeCell ref="B4:G4"/>
    <mergeCell ref="B8:G8"/>
    <mergeCell ref="B16:G16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9A84C"/>
  </sheetPr>
  <dimension ref="A1:I100"/>
  <sheetViews>
    <sheetView showGridLines="0" topLeftCell="A86" zoomScaleNormal="100" workbookViewId="0">
      <selection activeCell="E7" sqref="E7"/>
    </sheetView>
  </sheetViews>
  <sheetFormatPr defaultColWidth="8.5703125" defaultRowHeight="15" x14ac:dyDescent="0.25"/>
  <cols>
    <col min="1" max="1" width="1.5703125" customWidth="1"/>
    <col min="2" max="2" width="33" customWidth="1"/>
    <col min="3" max="6" width="11" customWidth="1"/>
    <col min="7" max="7" width="13" customWidth="1"/>
    <col min="8" max="8" width="13.85546875" customWidth="1"/>
    <col min="9" max="9" width="8.5703125" hidden="1" customWidth="1"/>
  </cols>
  <sheetData>
    <row r="1" spans="1:9" x14ac:dyDescent="0.25">
      <c r="A1" s="21"/>
      <c r="B1" s="21"/>
      <c r="C1" s="21"/>
      <c r="D1" s="21"/>
      <c r="E1" s="21"/>
      <c r="F1" s="21"/>
      <c r="G1" s="21"/>
      <c r="H1" s="21"/>
      <c r="I1" s="21"/>
    </row>
    <row r="2" spans="1:9" ht="36" customHeight="1" x14ac:dyDescent="0.25">
      <c r="A2" s="69" t="s">
        <v>137</v>
      </c>
      <c r="B2" s="69"/>
      <c r="C2" s="69"/>
      <c r="D2" s="69"/>
      <c r="E2" s="69"/>
      <c r="F2" s="69"/>
      <c r="G2" s="69"/>
      <c r="H2" s="69"/>
      <c r="I2" s="69"/>
    </row>
    <row r="3" spans="1:9" x14ac:dyDescent="0.25">
      <c r="A3" s="1"/>
      <c r="B3" s="1"/>
      <c r="C3" s="1"/>
      <c r="D3" s="1"/>
      <c r="E3" s="1"/>
      <c r="F3" s="1"/>
      <c r="G3" s="1"/>
      <c r="H3" s="1"/>
      <c r="I3" s="1"/>
    </row>
    <row r="4" spans="1:9" ht="24" customHeight="1" x14ac:dyDescent="0.25">
      <c r="A4" s="40"/>
      <c r="B4" s="77" t="s">
        <v>103</v>
      </c>
      <c r="C4" s="77"/>
      <c r="D4" s="77"/>
      <c r="E4" s="77"/>
      <c r="F4" s="77"/>
      <c r="G4" s="77"/>
      <c r="H4" s="77"/>
    </row>
    <row r="5" spans="1:9" ht="19.5" customHeight="1" x14ac:dyDescent="0.25">
      <c r="A5" s="28" t="s">
        <v>104</v>
      </c>
      <c r="B5" s="28" t="s">
        <v>102</v>
      </c>
      <c r="C5" s="28" t="s">
        <v>1</v>
      </c>
      <c r="D5" s="28" t="s">
        <v>3</v>
      </c>
      <c r="E5" s="28" t="s">
        <v>4</v>
      </c>
      <c r="F5" s="28" t="s">
        <v>98</v>
      </c>
      <c r="G5" s="28" t="s">
        <v>105</v>
      </c>
      <c r="H5" s="28" t="s">
        <v>7</v>
      </c>
    </row>
    <row r="6" spans="1:9" ht="18" customHeight="1" x14ac:dyDescent="0.25">
      <c r="A6" s="37">
        <v>1</v>
      </c>
      <c r="B6" s="36" t="s">
        <v>8</v>
      </c>
      <c r="C6" s="37" t="s">
        <v>9</v>
      </c>
      <c r="D6" s="41"/>
      <c r="E6" s="41"/>
      <c r="F6" s="41"/>
      <c r="G6" s="37" t="s">
        <v>110</v>
      </c>
      <c r="H6" s="42" t="str">
        <f>'Report Tracker'!H5</f>
        <v>Complete</v>
      </c>
    </row>
    <row r="7" spans="1:9" ht="18" customHeight="1" x14ac:dyDescent="0.25">
      <c r="A7" s="39">
        <v>2</v>
      </c>
      <c r="B7" s="38" t="s">
        <v>12</v>
      </c>
      <c r="C7" s="39" t="s">
        <v>13</v>
      </c>
      <c r="D7" s="43"/>
      <c r="E7" s="43"/>
      <c r="F7" s="43"/>
      <c r="G7" s="39" t="s">
        <v>116</v>
      </c>
      <c r="H7" s="42" t="str">
        <f>'Report Tracker'!H6</f>
        <v>Complete</v>
      </c>
    </row>
    <row r="8" spans="1:9" ht="18" customHeight="1" x14ac:dyDescent="0.25">
      <c r="A8" s="37">
        <v>3</v>
      </c>
      <c r="B8" s="36" t="s">
        <v>14</v>
      </c>
      <c r="C8" s="37" t="s">
        <v>13</v>
      </c>
      <c r="D8" s="41"/>
      <c r="E8" s="41"/>
      <c r="F8" s="41"/>
      <c r="G8" s="37" t="s">
        <v>112</v>
      </c>
      <c r="H8" s="42" t="str">
        <f>'Report Tracker'!H7</f>
        <v>Reviewed</v>
      </c>
    </row>
    <row r="9" spans="1:9" ht="18" customHeight="1" x14ac:dyDescent="0.25">
      <c r="A9" s="39">
        <v>4</v>
      </c>
      <c r="B9" s="38" t="s">
        <v>15</v>
      </c>
      <c r="C9" s="39" t="s">
        <v>13</v>
      </c>
      <c r="D9" s="43"/>
      <c r="E9" s="43"/>
      <c r="F9" s="43"/>
      <c r="G9" s="39" t="s">
        <v>111</v>
      </c>
      <c r="H9" s="42" t="str">
        <f>'Report Tracker'!H8</f>
        <v>Complete</v>
      </c>
    </row>
    <row r="10" spans="1:9" ht="18" customHeight="1" x14ac:dyDescent="0.25">
      <c r="A10" s="37">
        <v>5</v>
      </c>
      <c r="B10" s="36" t="s">
        <v>16</v>
      </c>
      <c r="C10" s="37" t="s">
        <v>13</v>
      </c>
      <c r="D10" s="41"/>
      <c r="E10" s="41"/>
      <c r="F10" s="41"/>
      <c r="G10" s="37" t="s">
        <v>111</v>
      </c>
      <c r="H10" s="42" t="str">
        <f>'Report Tracker'!H9</f>
        <v>Complete</v>
      </c>
    </row>
    <row r="11" spans="1:9" ht="18" customHeight="1" x14ac:dyDescent="0.25">
      <c r="A11" s="39">
        <v>6</v>
      </c>
      <c r="B11" s="38" t="s">
        <v>17</v>
      </c>
      <c r="C11" s="39" t="s">
        <v>13</v>
      </c>
      <c r="D11" s="43"/>
      <c r="E11" s="43"/>
      <c r="F11" s="43"/>
      <c r="G11" s="39" t="s">
        <v>115</v>
      </c>
      <c r="H11" s="42" t="str">
        <f>'Report Tracker'!H10</f>
        <v>Complete</v>
      </c>
    </row>
    <row r="12" spans="1:9" ht="18" customHeight="1" x14ac:dyDescent="0.25">
      <c r="A12" s="37">
        <v>7</v>
      </c>
      <c r="B12" s="36" t="s">
        <v>18</v>
      </c>
      <c r="C12" s="37" t="s">
        <v>13</v>
      </c>
      <c r="D12" s="41"/>
      <c r="E12" s="41"/>
      <c r="F12" s="41"/>
      <c r="G12" s="37" t="s">
        <v>114</v>
      </c>
      <c r="H12" s="42" t="str">
        <f>'Report Tracker'!H11</f>
        <v>Submitted</v>
      </c>
    </row>
    <row r="13" spans="1:9" ht="18" customHeight="1" x14ac:dyDescent="0.25">
      <c r="A13" s="39">
        <v>8</v>
      </c>
      <c r="B13" s="38" t="s">
        <v>19</v>
      </c>
      <c r="C13" s="39" t="s">
        <v>20</v>
      </c>
      <c r="D13" s="43"/>
      <c r="E13" s="43"/>
      <c r="F13" s="43"/>
      <c r="G13" s="39" t="s">
        <v>117</v>
      </c>
      <c r="H13" s="42" t="str">
        <f>'Report Tracker'!H12</f>
        <v>Submitted</v>
      </c>
    </row>
    <row r="14" spans="1:9" ht="18" customHeight="1" x14ac:dyDescent="0.25">
      <c r="A14" s="37">
        <v>9</v>
      </c>
      <c r="B14" s="36" t="s">
        <v>21</v>
      </c>
      <c r="C14" s="37" t="s">
        <v>20</v>
      </c>
      <c r="D14" s="41"/>
      <c r="E14" s="41"/>
      <c r="F14" s="41"/>
      <c r="G14" s="37" t="s">
        <v>110</v>
      </c>
      <c r="H14" s="42" t="str">
        <f>'Report Tracker'!H13</f>
        <v>Submitted</v>
      </c>
    </row>
    <row r="15" spans="1:9" ht="18" customHeight="1" x14ac:dyDescent="0.25">
      <c r="A15" s="39">
        <v>10</v>
      </c>
      <c r="B15" s="38" t="s">
        <v>22</v>
      </c>
      <c r="C15" s="39" t="s">
        <v>20</v>
      </c>
      <c r="D15" s="43"/>
      <c r="E15" s="43"/>
      <c r="F15" s="43"/>
      <c r="G15" s="39" t="s">
        <v>112</v>
      </c>
      <c r="H15" s="42" t="str">
        <f>'Report Tracker'!H14</f>
        <v>Submitted</v>
      </c>
    </row>
    <row r="16" spans="1:9" ht="18" customHeight="1" x14ac:dyDescent="0.25">
      <c r="A16" s="37">
        <v>11</v>
      </c>
      <c r="B16" s="36" t="s">
        <v>23</v>
      </c>
      <c r="C16" s="37" t="s">
        <v>24</v>
      </c>
      <c r="D16" s="41"/>
      <c r="E16" s="41"/>
      <c r="F16" s="41"/>
      <c r="G16" s="37" t="s">
        <v>114</v>
      </c>
      <c r="H16" s="42" t="str">
        <f>'Report Tracker'!H15</f>
        <v>Complete</v>
      </c>
    </row>
    <row r="17" spans="1:8" ht="18" customHeight="1" x14ac:dyDescent="0.25">
      <c r="A17" s="39">
        <v>12</v>
      </c>
      <c r="B17" s="38" t="s">
        <v>25</v>
      </c>
      <c r="C17" s="39" t="s">
        <v>24</v>
      </c>
      <c r="D17" s="43"/>
      <c r="E17" s="43"/>
      <c r="F17" s="43"/>
      <c r="G17" s="39" t="s">
        <v>111</v>
      </c>
      <c r="H17" s="42" t="str">
        <f>'Report Tracker'!H16</f>
        <v>Complete</v>
      </c>
    </row>
    <row r="18" spans="1:8" ht="18" customHeight="1" x14ac:dyDescent="0.25">
      <c r="A18" s="37">
        <v>13</v>
      </c>
      <c r="B18" s="36" t="s">
        <v>26</v>
      </c>
      <c r="C18" s="37" t="s">
        <v>24</v>
      </c>
      <c r="D18" s="41"/>
      <c r="E18" s="41"/>
      <c r="F18" s="41"/>
      <c r="G18" s="37" t="s">
        <v>115</v>
      </c>
      <c r="H18" s="42" t="str">
        <f>'Report Tracker'!H17</f>
        <v>Complete</v>
      </c>
    </row>
    <row r="19" spans="1:8" ht="18" customHeight="1" x14ac:dyDescent="0.25">
      <c r="A19" s="75" t="s">
        <v>136</v>
      </c>
      <c r="B19" s="75"/>
      <c r="C19" s="75"/>
      <c r="D19" s="75"/>
      <c r="E19" s="75"/>
      <c r="F19" s="75"/>
      <c r="G19" s="75"/>
      <c r="H19" s="75"/>
    </row>
    <row r="21" spans="1:8" ht="24" customHeight="1" x14ac:dyDescent="0.25">
      <c r="A21" s="40"/>
      <c r="B21" s="76" t="s">
        <v>124</v>
      </c>
      <c r="C21" s="77"/>
      <c r="D21" s="77"/>
      <c r="E21" s="77"/>
      <c r="F21" s="77"/>
      <c r="G21" s="77"/>
      <c r="H21" s="77"/>
    </row>
    <row r="22" spans="1:8" ht="19.5" customHeight="1" x14ac:dyDescent="0.25">
      <c r="A22" s="28" t="s">
        <v>104</v>
      </c>
      <c r="B22" s="28" t="s">
        <v>102</v>
      </c>
      <c r="C22" s="28" t="s">
        <v>1</v>
      </c>
      <c r="D22" s="28" t="s">
        <v>3</v>
      </c>
      <c r="E22" s="28" t="s">
        <v>4</v>
      </c>
      <c r="F22" s="28" t="s">
        <v>98</v>
      </c>
      <c r="G22" s="28" t="s">
        <v>105</v>
      </c>
      <c r="H22" s="28" t="s">
        <v>7</v>
      </c>
    </row>
    <row r="23" spans="1:8" ht="18" customHeight="1" x14ac:dyDescent="0.25">
      <c r="A23" s="37">
        <v>1</v>
      </c>
      <c r="B23" s="36" t="s">
        <v>27</v>
      </c>
      <c r="C23" s="37" t="s">
        <v>9</v>
      </c>
      <c r="D23" s="41"/>
      <c r="E23" s="41"/>
      <c r="F23" s="41"/>
      <c r="G23" s="37" t="s">
        <v>117</v>
      </c>
      <c r="H23" s="42" t="str">
        <f>'Report Tracker'!H18</f>
        <v>Submitted</v>
      </c>
    </row>
    <row r="24" spans="1:8" ht="18" customHeight="1" x14ac:dyDescent="0.25">
      <c r="A24" s="39">
        <v>2</v>
      </c>
      <c r="B24" s="38" t="s">
        <v>29</v>
      </c>
      <c r="C24" s="39" t="s">
        <v>20</v>
      </c>
      <c r="D24" s="43"/>
      <c r="E24" s="44"/>
      <c r="F24" s="44"/>
      <c r="G24" s="39"/>
      <c r="H24" s="45" t="str">
        <f>'Report Tracker'!H19</f>
        <v>Pending</v>
      </c>
    </row>
    <row r="25" spans="1:8" ht="18" customHeight="1" x14ac:dyDescent="0.25">
      <c r="A25" s="37">
        <v>3</v>
      </c>
      <c r="B25" s="36" t="s">
        <v>30</v>
      </c>
      <c r="C25" s="37" t="s">
        <v>24</v>
      </c>
      <c r="D25" s="41"/>
      <c r="E25" s="41"/>
      <c r="F25" s="41"/>
      <c r="G25" s="37" t="s">
        <v>117</v>
      </c>
      <c r="H25" s="42" t="str">
        <f>'Report Tracker'!H20</f>
        <v>Complete</v>
      </c>
    </row>
    <row r="26" spans="1:8" ht="18" customHeight="1" x14ac:dyDescent="0.25">
      <c r="A26" s="39">
        <v>4</v>
      </c>
      <c r="B26" s="38" t="s">
        <v>31</v>
      </c>
      <c r="C26" s="39" t="s">
        <v>24</v>
      </c>
      <c r="D26" s="43"/>
      <c r="E26" s="43"/>
      <c r="F26" s="43"/>
      <c r="G26" s="39" t="s">
        <v>118</v>
      </c>
      <c r="H26" s="42" t="str">
        <f>'Report Tracker'!H21</f>
        <v>Complete</v>
      </c>
    </row>
    <row r="27" spans="1:8" ht="18" customHeight="1" x14ac:dyDescent="0.25">
      <c r="A27" s="37">
        <v>5</v>
      </c>
      <c r="B27" s="36" t="s">
        <v>32</v>
      </c>
      <c r="C27" s="37" t="s">
        <v>24</v>
      </c>
      <c r="D27" s="41"/>
      <c r="E27" s="41"/>
      <c r="F27" s="41"/>
      <c r="G27" s="37" t="s">
        <v>119</v>
      </c>
      <c r="H27" s="42" t="str">
        <f>'Report Tracker'!H22</f>
        <v>Complete</v>
      </c>
    </row>
    <row r="28" spans="1:8" ht="18" customHeight="1" x14ac:dyDescent="0.25">
      <c r="A28" s="39">
        <v>6</v>
      </c>
      <c r="B28" s="38" t="s">
        <v>33</v>
      </c>
      <c r="C28" s="39" t="s">
        <v>24</v>
      </c>
      <c r="D28" s="43"/>
      <c r="E28" s="43"/>
      <c r="F28" s="43"/>
      <c r="G28" s="39"/>
      <c r="H28" s="42" t="str">
        <f>'Report Tracker'!H23</f>
        <v>Complete</v>
      </c>
    </row>
    <row r="29" spans="1:8" ht="18" customHeight="1" x14ac:dyDescent="0.25">
      <c r="A29" s="37">
        <v>7</v>
      </c>
      <c r="B29" s="36" t="s">
        <v>34</v>
      </c>
      <c r="C29" s="37" t="s">
        <v>24</v>
      </c>
      <c r="D29" s="41"/>
      <c r="E29" s="41"/>
      <c r="F29" s="41"/>
      <c r="G29" s="37" t="s">
        <v>110</v>
      </c>
      <c r="H29" s="42" t="str">
        <f>'Report Tracker'!H24</f>
        <v>Complete</v>
      </c>
    </row>
    <row r="30" spans="1:8" ht="18" customHeight="1" x14ac:dyDescent="0.25">
      <c r="A30" s="39">
        <v>8</v>
      </c>
      <c r="B30" s="38" t="s">
        <v>35</v>
      </c>
      <c r="C30" s="39" t="s">
        <v>24</v>
      </c>
      <c r="D30" s="43"/>
      <c r="E30" s="43"/>
      <c r="F30" s="43"/>
      <c r="G30" s="39" t="s">
        <v>112</v>
      </c>
      <c r="H30" s="42" t="str">
        <f>'Report Tracker'!H25</f>
        <v>Complete</v>
      </c>
    </row>
    <row r="31" spans="1:8" ht="18" customHeight="1" x14ac:dyDescent="0.25">
      <c r="A31" s="39"/>
      <c r="B31" s="65" t="s">
        <v>38</v>
      </c>
      <c r="C31" s="66" t="s">
        <v>9</v>
      </c>
      <c r="D31" s="67"/>
      <c r="E31" s="67"/>
      <c r="F31" s="67"/>
      <c r="G31" s="66" t="s">
        <v>109</v>
      </c>
      <c r="H31" s="42" t="str">
        <f>'Report Tracker'!H26</f>
        <v>Complete</v>
      </c>
    </row>
    <row r="32" spans="1:8" ht="18" customHeight="1" x14ac:dyDescent="0.25">
      <c r="A32" s="39"/>
      <c r="B32" s="38" t="s">
        <v>40</v>
      </c>
      <c r="C32" s="39" t="s">
        <v>13</v>
      </c>
      <c r="D32" s="43"/>
      <c r="E32" s="43"/>
      <c r="F32" s="43"/>
      <c r="G32" s="39" t="s">
        <v>112</v>
      </c>
      <c r="H32" s="42" t="str">
        <f>'Report Tracker'!H27</f>
        <v>Complete</v>
      </c>
    </row>
    <row r="33" spans="1:8" ht="18" customHeight="1" x14ac:dyDescent="0.25">
      <c r="A33" s="37">
        <v>9</v>
      </c>
      <c r="B33" s="36" t="s">
        <v>36</v>
      </c>
      <c r="C33" s="37" t="s">
        <v>24</v>
      </c>
      <c r="D33" s="41"/>
      <c r="E33" s="41"/>
      <c r="F33" s="41"/>
      <c r="G33" s="37" t="s">
        <v>116</v>
      </c>
      <c r="H33" s="42" t="str">
        <f>'Report Tracker'!H28</f>
        <v>Complete</v>
      </c>
    </row>
    <row r="34" spans="1:8" ht="18" customHeight="1" x14ac:dyDescent="0.25">
      <c r="A34" s="39">
        <v>10</v>
      </c>
      <c r="B34" s="38" t="s">
        <v>37</v>
      </c>
      <c r="C34" s="39" t="s">
        <v>24</v>
      </c>
      <c r="D34" s="43"/>
      <c r="E34" s="43"/>
      <c r="F34" s="43"/>
      <c r="G34" s="39" t="s">
        <v>113</v>
      </c>
      <c r="H34" s="42" t="str">
        <f>'Report Tracker'!H29</f>
        <v>Complete</v>
      </c>
    </row>
    <row r="35" spans="1:8" ht="18" customHeight="1" x14ac:dyDescent="0.25">
      <c r="A35" s="75" t="s">
        <v>131</v>
      </c>
      <c r="B35" s="75"/>
      <c r="C35" s="75"/>
      <c r="D35" s="75"/>
      <c r="E35" s="75"/>
      <c r="F35" s="75"/>
      <c r="G35" s="75"/>
      <c r="H35" s="75"/>
    </row>
    <row r="37" spans="1:8" ht="24" customHeight="1" x14ac:dyDescent="0.25">
      <c r="A37" s="40"/>
      <c r="B37" s="77" t="s">
        <v>129</v>
      </c>
      <c r="C37" s="77"/>
      <c r="D37" s="77"/>
      <c r="E37" s="77"/>
      <c r="F37" s="77"/>
      <c r="G37" s="77"/>
      <c r="H37" s="77"/>
    </row>
    <row r="38" spans="1:8" ht="19.5" customHeight="1" x14ac:dyDescent="0.25">
      <c r="A38" s="28" t="s">
        <v>104</v>
      </c>
      <c r="B38" s="28" t="s">
        <v>102</v>
      </c>
      <c r="C38" s="28" t="s">
        <v>1</v>
      </c>
      <c r="D38" s="28" t="s">
        <v>3</v>
      </c>
      <c r="E38" s="28" t="s">
        <v>4</v>
      </c>
      <c r="F38" s="28" t="s">
        <v>98</v>
      </c>
      <c r="G38" s="28" t="s">
        <v>105</v>
      </c>
      <c r="H38" s="28" t="s">
        <v>7</v>
      </c>
    </row>
    <row r="39" spans="1:8" ht="18" customHeight="1" x14ac:dyDescent="0.25">
      <c r="A39" s="37">
        <v>1</v>
      </c>
      <c r="B39" s="36" t="s">
        <v>49</v>
      </c>
      <c r="C39" s="37" t="s">
        <v>9</v>
      </c>
      <c r="D39" s="41"/>
      <c r="E39" s="41"/>
      <c r="F39" s="41"/>
      <c r="G39" s="37" t="s">
        <v>121</v>
      </c>
      <c r="H39" s="42" t="str">
        <f>'Report Tracker'!H30</f>
        <v>Complete</v>
      </c>
    </row>
    <row r="40" spans="1:8" ht="18" customHeight="1" x14ac:dyDescent="0.25">
      <c r="A40" s="39">
        <v>2</v>
      </c>
      <c r="B40" s="38" t="s">
        <v>51</v>
      </c>
      <c r="C40" s="39" t="s">
        <v>9</v>
      </c>
      <c r="D40" s="43"/>
      <c r="E40" s="43"/>
      <c r="F40" s="43"/>
      <c r="G40" s="39" t="s">
        <v>112</v>
      </c>
      <c r="H40" s="42" t="str">
        <f>'Report Tracker'!H31</f>
        <v>Submitted</v>
      </c>
    </row>
    <row r="41" spans="1:8" ht="18" customHeight="1" x14ac:dyDescent="0.25">
      <c r="A41" s="37">
        <v>3</v>
      </c>
      <c r="B41" s="36" t="s">
        <v>52</v>
      </c>
      <c r="C41" s="37" t="s">
        <v>9</v>
      </c>
      <c r="D41" s="41"/>
      <c r="E41" s="41"/>
      <c r="F41" s="41"/>
      <c r="G41" s="37" t="s">
        <v>116</v>
      </c>
      <c r="H41" s="42" t="str">
        <f>'Report Tracker'!H32</f>
        <v>Submitted</v>
      </c>
    </row>
    <row r="42" spans="1:8" ht="18" customHeight="1" x14ac:dyDescent="0.25">
      <c r="A42" s="39">
        <v>4</v>
      </c>
      <c r="B42" s="38" t="s">
        <v>53</v>
      </c>
      <c r="C42" s="39" t="s">
        <v>9</v>
      </c>
      <c r="D42" s="43"/>
      <c r="E42" s="43"/>
      <c r="F42" s="43"/>
      <c r="G42" s="39" t="s">
        <v>115</v>
      </c>
      <c r="H42" s="42" t="str">
        <f>'Report Tracker'!H33</f>
        <v>Submitted</v>
      </c>
    </row>
    <row r="43" spans="1:8" ht="18" customHeight="1" x14ac:dyDescent="0.25">
      <c r="A43" s="37">
        <v>5</v>
      </c>
      <c r="B43" s="36" t="s">
        <v>54</v>
      </c>
      <c r="C43" s="37" t="s">
        <v>9</v>
      </c>
      <c r="D43" s="41"/>
      <c r="E43" s="41"/>
      <c r="F43" s="41"/>
      <c r="G43" s="37" t="s">
        <v>122</v>
      </c>
      <c r="H43" s="42" t="str">
        <f>'Report Tracker'!H34</f>
        <v>Complete</v>
      </c>
    </row>
    <row r="44" spans="1:8" ht="18" customHeight="1" x14ac:dyDescent="0.25">
      <c r="A44" s="39">
        <v>6</v>
      </c>
      <c r="B44" s="38" t="s">
        <v>55</v>
      </c>
      <c r="C44" s="39" t="s">
        <v>9</v>
      </c>
      <c r="D44" s="43"/>
      <c r="E44" s="43"/>
      <c r="F44" s="43"/>
      <c r="G44" s="39" t="s">
        <v>110</v>
      </c>
      <c r="H44" s="42" t="str">
        <f>'Report Tracker'!H35</f>
        <v>Complete</v>
      </c>
    </row>
    <row r="45" spans="1:8" ht="18" customHeight="1" x14ac:dyDescent="0.25">
      <c r="A45" s="37">
        <v>7</v>
      </c>
      <c r="B45" s="62" t="s">
        <v>56</v>
      </c>
      <c r="C45" s="63" t="s">
        <v>9</v>
      </c>
      <c r="D45" s="64"/>
      <c r="E45" s="64"/>
      <c r="F45" s="64"/>
      <c r="G45" s="63" t="s">
        <v>113</v>
      </c>
      <c r="H45" s="42" t="str">
        <f>'Report Tracker'!H36</f>
        <v>Complete</v>
      </c>
    </row>
    <row r="46" spans="1:8" ht="18" customHeight="1" x14ac:dyDescent="0.25">
      <c r="A46" s="37"/>
      <c r="B46" s="36" t="s">
        <v>46</v>
      </c>
      <c r="C46" s="37" t="s">
        <v>20</v>
      </c>
      <c r="D46" s="41"/>
      <c r="E46" s="41"/>
      <c r="F46" s="41"/>
      <c r="G46" s="37" t="s">
        <v>111</v>
      </c>
      <c r="H46" s="42" t="str">
        <f>'Report Tracker'!H37</f>
        <v>Submitted</v>
      </c>
    </row>
    <row r="47" spans="1:8" ht="18" customHeight="1" x14ac:dyDescent="0.25">
      <c r="A47" s="39">
        <v>8</v>
      </c>
      <c r="B47" s="38" t="s">
        <v>57</v>
      </c>
      <c r="C47" s="39" t="s">
        <v>9</v>
      </c>
      <c r="D47" s="43"/>
      <c r="E47" s="43"/>
      <c r="F47" s="43"/>
      <c r="G47" s="39" t="s">
        <v>119</v>
      </c>
      <c r="H47" s="42" t="str">
        <f>'Report Tracker'!H38</f>
        <v>Submitted</v>
      </c>
    </row>
    <row r="48" spans="1:8" ht="18" customHeight="1" x14ac:dyDescent="0.25">
      <c r="A48" s="39"/>
      <c r="B48" s="65" t="s">
        <v>41</v>
      </c>
      <c r="C48" s="66" t="s">
        <v>13</v>
      </c>
      <c r="D48" s="67"/>
      <c r="E48" s="67"/>
      <c r="F48" s="67"/>
      <c r="G48" s="66" t="s">
        <v>111</v>
      </c>
      <c r="H48" s="42" t="str">
        <f>'Report Tracker'!H39</f>
        <v>Pending</v>
      </c>
    </row>
    <row r="49" spans="1:8" ht="18" customHeight="1" x14ac:dyDescent="0.25">
      <c r="A49" s="39"/>
      <c r="B49" s="38" t="s">
        <v>43</v>
      </c>
      <c r="C49" s="39" t="s">
        <v>20</v>
      </c>
      <c r="D49" s="43"/>
      <c r="E49" s="43"/>
      <c r="F49" s="43"/>
      <c r="G49" s="39" t="s">
        <v>113</v>
      </c>
      <c r="H49" s="42" t="str">
        <f>'Report Tracker'!H40</f>
        <v>Submitted</v>
      </c>
    </row>
    <row r="50" spans="1:8" ht="18" customHeight="1" x14ac:dyDescent="0.25">
      <c r="A50" s="37">
        <v>9</v>
      </c>
      <c r="B50" s="36" t="s">
        <v>58</v>
      </c>
      <c r="C50" s="37" t="s">
        <v>9</v>
      </c>
      <c r="D50" s="41"/>
      <c r="E50" s="41"/>
      <c r="F50" s="41"/>
      <c r="G50" s="37" t="s">
        <v>113</v>
      </c>
      <c r="H50" s="42" t="str">
        <f>'Report Tracker'!H41</f>
        <v>Submitted</v>
      </c>
    </row>
    <row r="51" spans="1:8" ht="18" customHeight="1" x14ac:dyDescent="0.25">
      <c r="A51" s="75" t="s">
        <v>132</v>
      </c>
      <c r="B51" s="75"/>
      <c r="C51" s="75"/>
      <c r="D51" s="75"/>
      <c r="E51" s="75"/>
      <c r="F51" s="75"/>
      <c r="G51" s="75"/>
      <c r="H51" s="75"/>
    </row>
    <row r="53" spans="1:8" ht="24" customHeight="1" x14ac:dyDescent="0.25">
      <c r="A53" s="40"/>
      <c r="B53" s="77" t="s">
        <v>128</v>
      </c>
      <c r="C53" s="77"/>
      <c r="D53" s="77"/>
      <c r="E53" s="77"/>
      <c r="F53" s="77"/>
      <c r="G53" s="77"/>
      <c r="H53" s="77"/>
    </row>
    <row r="54" spans="1:8" ht="19.5" customHeight="1" x14ac:dyDescent="0.25">
      <c r="A54" s="28" t="s">
        <v>104</v>
      </c>
      <c r="B54" s="28" t="s">
        <v>102</v>
      </c>
      <c r="C54" s="28" t="s">
        <v>1</v>
      </c>
      <c r="D54" s="28" t="s">
        <v>3</v>
      </c>
      <c r="E54" s="28" t="s">
        <v>4</v>
      </c>
      <c r="F54" s="28" t="s">
        <v>98</v>
      </c>
      <c r="G54" s="28" t="s">
        <v>105</v>
      </c>
      <c r="H54" s="28" t="s">
        <v>7</v>
      </c>
    </row>
    <row r="55" spans="1:8" ht="18" customHeight="1" x14ac:dyDescent="0.25">
      <c r="A55" s="37">
        <v>1</v>
      </c>
      <c r="B55" s="36" t="s">
        <v>59</v>
      </c>
      <c r="C55" s="37" t="s">
        <v>9</v>
      </c>
      <c r="D55" s="41"/>
      <c r="E55" s="41"/>
      <c r="F55" s="41"/>
      <c r="G55" s="37" t="s">
        <v>116</v>
      </c>
      <c r="H55" s="42" t="str">
        <f>'Report Tracker'!H42</f>
        <v>Pending</v>
      </c>
    </row>
    <row r="56" spans="1:8" ht="18" customHeight="1" x14ac:dyDescent="0.25">
      <c r="A56" s="39">
        <v>2</v>
      </c>
      <c r="B56" s="38" t="s">
        <v>61</v>
      </c>
      <c r="C56" s="39" t="s">
        <v>20</v>
      </c>
      <c r="D56" s="43"/>
      <c r="E56" s="43"/>
      <c r="F56" s="43"/>
      <c r="G56" s="39" t="s">
        <v>113</v>
      </c>
      <c r="H56" s="42" t="str">
        <f>'Report Tracker'!H43</f>
        <v>Submitted</v>
      </c>
    </row>
    <row r="57" spans="1:8" ht="18" customHeight="1" x14ac:dyDescent="0.25">
      <c r="A57" s="37">
        <v>3</v>
      </c>
      <c r="B57" s="36" t="s">
        <v>62</v>
      </c>
      <c r="C57" s="37" t="s">
        <v>20</v>
      </c>
      <c r="D57" s="41"/>
      <c r="E57" s="41"/>
      <c r="F57" s="41"/>
      <c r="G57" s="37" t="s">
        <v>117</v>
      </c>
      <c r="H57" s="42" t="str">
        <f>'Report Tracker'!H44</f>
        <v>Submitted</v>
      </c>
    </row>
    <row r="58" spans="1:8" ht="18" customHeight="1" x14ac:dyDescent="0.25">
      <c r="A58" s="39">
        <v>4</v>
      </c>
      <c r="B58" s="38" t="s">
        <v>63</v>
      </c>
      <c r="C58" s="39" t="s">
        <v>20</v>
      </c>
      <c r="D58" s="43"/>
      <c r="E58" s="43"/>
      <c r="F58" s="43"/>
      <c r="G58" s="39" t="s">
        <v>111</v>
      </c>
      <c r="H58" s="42" t="str">
        <f>'Report Tracker'!H45</f>
        <v>Complete</v>
      </c>
    </row>
    <row r="59" spans="1:8" ht="18" customHeight="1" x14ac:dyDescent="0.25">
      <c r="A59" s="37">
        <v>5</v>
      </c>
      <c r="B59" s="36" t="s">
        <v>64</v>
      </c>
      <c r="C59" s="37" t="s">
        <v>20</v>
      </c>
      <c r="D59" s="41"/>
      <c r="E59" s="41"/>
      <c r="F59" s="41"/>
      <c r="G59" s="37" t="s">
        <v>118</v>
      </c>
      <c r="H59" s="42" t="str">
        <f>'Report Tracker'!H46</f>
        <v>Submitted</v>
      </c>
    </row>
    <row r="60" spans="1:8" ht="18" customHeight="1" x14ac:dyDescent="0.25">
      <c r="A60" s="39">
        <v>6</v>
      </c>
      <c r="B60" s="38" t="s">
        <v>65</v>
      </c>
      <c r="C60" s="39" t="s">
        <v>20</v>
      </c>
      <c r="D60" s="43"/>
      <c r="E60" s="43"/>
      <c r="F60" s="43"/>
      <c r="G60" s="39" t="s">
        <v>112</v>
      </c>
      <c r="H60" s="42" t="str">
        <f>'Report Tracker'!H47</f>
        <v>Complete</v>
      </c>
    </row>
    <row r="61" spans="1:8" ht="18" customHeight="1" x14ac:dyDescent="0.25">
      <c r="A61" s="37">
        <v>7</v>
      </c>
      <c r="B61" s="36" t="s">
        <v>66</v>
      </c>
      <c r="C61" s="37" t="s">
        <v>20</v>
      </c>
      <c r="D61" s="41"/>
      <c r="E61" s="41"/>
      <c r="F61" s="41"/>
      <c r="G61" s="37" t="s">
        <v>120</v>
      </c>
      <c r="H61" s="42" t="str">
        <f>'Report Tracker'!H48</f>
        <v>Submitted</v>
      </c>
    </row>
    <row r="62" spans="1:8" ht="18" customHeight="1" x14ac:dyDescent="0.25">
      <c r="A62" s="37"/>
      <c r="B62" s="62" t="s">
        <v>39</v>
      </c>
      <c r="C62" s="63" t="s">
        <v>9</v>
      </c>
      <c r="D62" s="64"/>
      <c r="E62" s="64"/>
      <c r="F62" s="64"/>
      <c r="G62" s="63" t="s">
        <v>110</v>
      </c>
      <c r="H62" s="42" t="str">
        <f>'Report Tracker'!H49</f>
        <v>Submitted</v>
      </c>
    </row>
    <row r="63" spans="1:8" ht="18" customHeight="1" x14ac:dyDescent="0.25">
      <c r="A63" s="37"/>
      <c r="B63" s="36" t="s">
        <v>42</v>
      </c>
      <c r="C63" s="37" t="s">
        <v>13</v>
      </c>
      <c r="D63" s="41"/>
      <c r="E63" s="41"/>
      <c r="F63" s="41"/>
      <c r="G63" s="37" t="s">
        <v>111</v>
      </c>
      <c r="H63" s="42" t="str">
        <f>'Report Tracker'!H50</f>
        <v>Submitted</v>
      </c>
    </row>
    <row r="64" spans="1:8" ht="18" customHeight="1" x14ac:dyDescent="0.25">
      <c r="A64" s="39">
        <v>8</v>
      </c>
      <c r="B64" s="38" t="s">
        <v>67</v>
      </c>
      <c r="C64" s="39" t="s">
        <v>20</v>
      </c>
      <c r="D64" s="43"/>
      <c r="E64" s="43"/>
      <c r="F64" s="43"/>
      <c r="G64" s="39" t="s">
        <v>115</v>
      </c>
      <c r="H64" s="42" t="str">
        <f>'Report Tracker'!H51</f>
        <v>Complete</v>
      </c>
    </row>
    <row r="65" spans="1:8" ht="18" customHeight="1" x14ac:dyDescent="0.25">
      <c r="A65" s="37">
        <v>9</v>
      </c>
      <c r="B65" s="36" t="s">
        <v>68</v>
      </c>
      <c r="C65" s="37" t="s">
        <v>24</v>
      </c>
      <c r="D65" s="41"/>
      <c r="E65" s="41"/>
      <c r="F65" s="41"/>
      <c r="G65" s="37" t="s">
        <v>119</v>
      </c>
      <c r="H65" s="42" t="str">
        <f>'Report Tracker'!H52</f>
        <v>Complete</v>
      </c>
    </row>
    <row r="66" spans="1:8" ht="18" customHeight="1" x14ac:dyDescent="0.25">
      <c r="A66" s="75" t="s">
        <v>135</v>
      </c>
      <c r="B66" s="75"/>
      <c r="C66" s="75"/>
      <c r="D66" s="75"/>
      <c r="E66" s="75"/>
      <c r="F66" s="75"/>
      <c r="G66" s="75"/>
      <c r="H66" s="75"/>
    </row>
    <row r="68" spans="1:8" ht="24" customHeight="1" x14ac:dyDescent="0.25">
      <c r="A68" s="40"/>
      <c r="B68" s="77" t="s">
        <v>127</v>
      </c>
      <c r="C68" s="77"/>
      <c r="D68" s="77"/>
      <c r="E68" s="77"/>
      <c r="F68" s="77"/>
      <c r="G68" s="77"/>
      <c r="H68" s="77"/>
    </row>
    <row r="69" spans="1:8" ht="19.5" customHeight="1" x14ac:dyDescent="0.25">
      <c r="A69" s="28" t="s">
        <v>104</v>
      </c>
      <c r="B69" s="28" t="s">
        <v>102</v>
      </c>
      <c r="C69" s="28" t="s">
        <v>1</v>
      </c>
      <c r="D69" s="28" t="s">
        <v>3</v>
      </c>
      <c r="E69" s="28" t="s">
        <v>4</v>
      </c>
      <c r="F69" s="28" t="s">
        <v>98</v>
      </c>
      <c r="G69" s="28" t="s">
        <v>105</v>
      </c>
      <c r="H69" s="28" t="s">
        <v>7</v>
      </c>
    </row>
    <row r="70" spans="1:8" ht="18" customHeight="1" x14ac:dyDescent="0.25">
      <c r="A70" s="37">
        <v>1</v>
      </c>
      <c r="B70" s="36" t="s">
        <v>69</v>
      </c>
      <c r="C70" s="37" t="s">
        <v>9</v>
      </c>
      <c r="D70" s="41"/>
      <c r="E70" s="41"/>
      <c r="F70" s="41"/>
      <c r="G70" s="37" t="s">
        <v>117</v>
      </c>
      <c r="H70" s="42" t="str">
        <f>'Report Tracker'!H53</f>
        <v>Pending</v>
      </c>
    </row>
    <row r="71" spans="1:8" ht="18" customHeight="1" x14ac:dyDescent="0.25">
      <c r="A71" s="39">
        <v>2</v>
      </c>
      <c r="B71" s="38" t="s">
        <v>71</v>
      </c>
      <c r="C71" s="39" t="s">
        <v>13</v>
      </c>
      <c r="D71" s="43"/>
      <c r="E71" s="43"/>
      <c r="F71" s="43"/>
      <c r="G71" s="39" t="s">
        <v>119</v>
      </c>
      <c r="H71" s="42" t="str">
        <f>'Report Tracker'!H54</f>
        <v>Submitted</v>
      </c>
    </row>
    <row r="72" spans="1:8" ht="18" customHeight="1" x14ac:dyDescent="0.25">
      <c r="A72" s="37">
        <v>3</v>
      </c>
      <c r="B72" s="36" t="s">
        <v>72</v>
      </c>
      <c r="C72" s="37" t="s">
        <v>13</v>
      </c>
      <c r="D72" s="41"/>
      <c r="E72" s="41"/>
      <c r="F72" s="41"/>
      <c r="G72" s="37" t="s">
        <v>118</v>
      </c>
      <c r="H72" s="42" t="str">
        <f>'Report Tracker'!H55</f>
        <v>Pending</v>
      </c>
    </row>
    <row r="73" spans="1:8" ht="18" customHeight="1" x14ac:dyDescent="0.25">
      <c r="A73" s="39">
        <v>4</v>
      </c>
      <c r="B73" s="38" t="s">
        <v>73</v>
      </c>
      <c r="C73" s="39" t="s">
        <v>13</v>
      </c>
      <c r="D73" s="43"/>
      <c r="E73" s="43"/>
      <c r="F73" s="43"/>
      <c r="G73" s="39" t="s">
        <v>116</v>
      </c>
      <c r="H73" s="42" t="str">
        <f>'Report Tracker'!H56</f>
        <v>Complete</v>
      </c>
    </row>
    <row r="74" spans="1:8" ht="18" customHeight="1" x14ac:dyDescent="0.25">
      <c r="A74" s="37">
        <v>5</v>
      </c>
      <c r="B74" s="36" t="s">
        <v>74</v>
      </c>
      <c r="C74" s="37" t="s">
        <v>13</v>
      </c>
      <c r="D74" s="41"/>
      <c r="E74" s="41"/>
      <c r="F74" s="41"/>
      <c r="G74" s="37" t="s">
        <v>110</v>
      </c>
      <c r="H74" s="42" t="str">
        <f>'Report Tracker'!H57</f>
        <v>Complete</v>
      </c>
    </row>
    <row r="75" spans="1:8" ht="18" customHeight="1" x14ac:dyDescent="0.25">
      <c r="A75" s="37"/>
      <c r="B75" s="36" t="s">
        <v>47</v>
      </c>
      <c r="C75" s="37" t="s">
        <v>24</v>
      </c>
      <c r="D75" s="41"/>
      <c r="E75" s="41"/>
      <c r="F75" s="41"/>
      <c r="G75" s="37" t="s">
        <v>116</v>
      </c>
      <c r="H75" s="42" t="str">
        <f>'Report Tracker'!H58</f>
        <v>Reviewed</v>
      </c>
    </row>
    <row r="76" spans="1:8" ht="18" customHeight="1" x14ac:dyDescent="0.25">
      <c r="A76" s="37"/>
      <c r="B76" s="36" t="s">
        <v>48</v>
      </c>
      <c r="C76" s="37" t="s">
        <v>24</v>
      </c>
      <c r="D76" s="41"/>
      <c r="E76" s="41"/>
      <c r="F76" s="41"/>
      <c r="G76" s="37" t="s">
        <v>116</v>
      </c>
      <c r="H76" s="42" t="str">
        <f>'Report Tracker'!H59</f>
        <v>Reviewed</v>
      </c>
    </row>
    <row r="77" spans="1:8" ht="18" customHeight="1" x14ac:dyDescent="0.25">
      <c r="A77" s="39">
        <v>6</v>
      </c>
      <c r="B77" s="38" t="s">
        <v>75</v>
      </c>
      <c r="C77" s="39" t="s">
        <v>13</v>
      </c>
      <c r="D77" s="43"/>
      <c r="E77" s="43"/>
      <c r="F77" s="43"/>
      <c r="G77" s="39" t="s">
        <v>111</v>
      </c>
      <c r="H77" s="42" t="str">
        <f>'Report Tracker'!H60</f>
        <v>Complete</v>
      </c>
    </row>
    <row r="78" spans="1:8" ht="18" customHeight="1" x14ac:dyDescent="0.25">
      <c r="A78" s="37">
        <v>7</v>
      </c>
      <c r="B78" s="36" t="s">
        <v>76</v>
      </c>
      <c r="C78" s="37" t="s">
        <v>13</v>
      </c>
      <c r="D78" s="41"/>
      <c r="E78" s="41"/>
      <c r="F78" s="41"/>
      <c r="G78" s="37" t="s">
        <v>112</v>
      </c>
      <c r="H78" s="42" t="str">
        <f>'Report Tracker'!H61</f>
        <v>Complete</v>
      </c>
    </row>
    <row r="79" spans="1:8" ht="18" customHeight="1" x14ac:dyDescent="0.25">
      <c r="A79" s="39">
        <v>8</v>
      </c>
      <c r="B79" s="38" t="s">
        <v>77</v>
      </c>
      <c r="C79" s="39" t="s">
        <v>13</v>
      </c>
      <c r="D79" s="43"/>
      <c r="E79" s="43"/>
      <c r="F79" s="43"/>
      <c r="G79" s="39" t="s">
        <v>115</v>
      </c>
      <c r="H79" s="42" t="str">
        <f>'Report Tracker'!H62</f>
        <v>Complete</v>
      </c>
    </row>
    <row r="80" spans="1:8" ht="18" customHeight="1" x14ac:dyDescent="0.25">
      <c r="A80" s="37">
        <v>9</v>
      </c>
      <c r="B80" s="36" t="s">
        <v>78</v>
      </c>
      <c r="C80" s="37" t="s">
        <v>13</v>
      </c>
      <c r="D80" s="41"/>
      <c r="E80" s="41"/>
      <c r="F80" s="41"/>
      <c r="G80" s="37" t="s">
        <v>113</v>
      </c>
      <c r="H80" s="42" t="str">
        <f>'Report Tracker'!H63</f>
        <v>Submitted</v>
      </c>
    </row>
    <row r="81" spans="1:8" ht="18" customHeight="1" x14ac:dyDescent="0.25">
      <c r="A81" s="39">
        <v>10</v>
      </c>
      <c r="B81" s="38" t="s">
        <v>79</v>
      </c>
      <c r="C81" s="39" t="s">
        <v>13</v>
      </c>
      <c r="D81" s="43"/>
      <c r="E81" s="43"/>
      <c r="F81" s="43"/>
      <c r="G81" s="39" t="s">
        <v>111</v>
      </c>
      <c r="H81" s="42" t="str">
        <f>'Report Tracker'!H64</f>
        <v>Complete</v>
      </c>
    </row>
    <row r="82" spans="1:8" ht="18" customHeight="1" x14ac:dyDescent="0.25">
      <c r="A82" s="37">
        <v>11</v>
      </c>
      <c r="B82" s="36" t="s">
        <v>80</v>
      </c>
      <c r="C82" s="37" t="s">
        <v>20</v>
      </c>
      <c r="D82" s="41"/>
      <c r="E82" s="41"/>
      <c r="F82" s="41"/>
      <c r="G82" s="37" t="s">
        <v>119</v>
      </c>
      <c r="H82" s="42" t="str">
        <f>'Report Tracker'!H65</f>
        <v>Submitted</v>
      </c>
    </row>
    <row r="83" spans="1:8" ht="18" customHeight="1" x14ac:dyDescent="0.25">
      <c r="A83" s="75" t="s">
        <v>134</v>
      </c>
      <c r="B83" s="75"/>
      <c r="C83" s="75"/>
      <c r="D83" s="75"/>
      <c r="E83" s="75"/>
      <c r="F83" s="75"/>
      <c r="G83" s="75"/>
      <c r="H83" s="75"/>
    </row>
    <row r="85" spans="1:8" ht="24" customHeight="1" x14ac:dyDescent="0.25">
      <c r="A85" s="40"/>
      <c r="B85" s="76" t="s">
        <v>126</v>
      </c>
      <c r="C85" s="77"/>
      <c r="D85" s="77"/>
      <c r="E85" s="77"/>
      <c r="F85" s="77"/>
      <c r="G85" s="77"/>
      <c r="H85" s="77"/>
    </row>
    <row r="86" spans="1:8" ht="19.5" customHeight="1" x14ac:dyDescent="0.25">
      <c r="A86" s="28" t="s">
        <v>104</v>
      </c>
      <c r="B86" s="28" t="s">
        <v>102</v>
      </c>
      <c r="C86" s="28" t="s">
        <v>1</v>
      </c>
      <c r="D86" s="28" t="s">
        <v>3</v>
      </c>
      <c r="E86" s="28" t="s">
        <v>4</v>
      </c>
      <c r="F86" s="28" t="s">
        <v>98</v>
      </c>
      <c r="G86" s="28" t="s">
        <v>105</v>
      </c>
      <c r="H86" s="28" t="s">
        <v>7</v>
      </c>
    </row>
    <row r="87" spans="1:8" ht="18" customHeight="1" x14ac:dyDescent="0.25">
      <c r="A87" s="37">
        <v>1</v>
      </c>
      <c r="B87" s="36" t="s">
        <v>81</v>
      </c>
      <c r="C87" s="37" t="s">
        <v>9</v>
      </c>
      <c r="D87" s="41"/>
      <c r="E87" s="41"/>
      <c r="F87" s="41"/>
      <c r="G87" s="37" t="s">
        <v>112</v>
      </c>
      <c r="H87" s="42" t="str">
        <f>'Report Tracker'!H66</f>
        <v>Pending</v>
      </c>
    </row>
    <row r="88" spans="1:8" ht="18" customHeight="1" x14ac:dyDescent="0.25">
      <c r="A88" s="39">
        <v>2</v>
      </c>
      <c r="B88" s="38" t="s">
        <v>82</v>
      </c>
      <c r="C88" s="39" t="s">
        <v>9</v>
      </c>
      <c r="D88" s="43"/>
      <c r="E88" s="43"/>
      <c r="F88" s="43"/>
      <c r="G88" s="39" t="s">
        <v>118</v>
      </c>
      <c r="H88" s="42" t="str">
        <f>'Report Tracker'!H67</f>
        <v>Complete</v>
      </c>
    </row>
    <row r="89" spans="1:8" ht="18" customHeight="1" x14ac:dyDescent="0.25">
      <c r="A89" s="37">
        <v>3</v>
      </c>
      <c r="B89" s="36" t="s">
        <v>83</v>
      </c>
      <c r="C89" s="37" t="s">
        <v>9</v>
      </c>
      <c r="D89" s="41"/>
      <c r="E89" s="41"/>
      <c r="F89" s="41"/>
      <c r="G89" s="37" t="s">
        <v>110</v>
      </c>
      <c r="H89" s="42" t="str">
        <f>'Report Tracker'!H68</f>
        <v>Submitted</v>
      </c>
    </row>
    <row r="90" spans="1:8" ht="18" customHeight="1" x14ac:dyDescent="0.25">
      <c r="A90" s="37"/>
      <c r="B90" s="62" t="s">
        <v>44</v>
      </c>
      <c r="C90" s="63" t="s">
        <v>20</v>
      </c>
      <c r="D90" s="64"/>
      <c r="E90" s="64"/>
      <c r="F90" s="64"/>
      <c r="G90" s="63" t="s">
        <v>111</v>
      </c>
      <c r="H90" s="42" t="str">
        <f>'Report Tracker'!H69</f>
        <v>Complete</v>
      </c>
    </row>
    <row r="91" spans="1:8" ht="18" customHeight="1" x14ac:dyDescent="0.25">
      <c r="A91" s="37"/>
      <c r="B91" s="36" t="s">
        <v>45</v>
      </c>
      <c r="C91" s="37" t="s">
        <v>20</v>
      </c>
      <c r="D91" s="41"/>
      <c r="E91" s="41"/>
      <c r="F91" s="41"/>
      <c r="G91" s="37" t="s">
        <v>120</v>
      </c>
      <c r="H91" s="42" t="str">
        <f>'Report Tracker'!H70</f>
        <v>Pending</v>
      </c>
    </row>
    <row r="92" spans="1:8" ht="18" customHeight="1" x14ac:dyDescent="0.25">
      <c r="A92" s="39">
        <v>4</v>
      </c>
      <c r="B92" s="38" t="s">
        <v>84</v>
      </c>
      <c r="C92" s="39" t="s">
        <v>13</v>
      </c>
      <c r="D92" s="43"/>
      <c r="E92" s="43"/>
      <c r="F92" s="43"/>
      <c r="G92" s="39" t="s">
        <v>109</v>
      </c>
      <c r="H92" s="42" t="str">
        <f>'Report Tracker'!H71</f>
        <v>Complete</v>
      </c>
    </row>
    <row r="93" spans="1:8" ht="18" customHeight="1" x14ac:dyDescent="0.25">
      <c r="A93" s="37">
        <v>5</v>
      </c>
      <c r="B93" s="36" t="s">
        <v>85</v>
      </c>
      <c r="C93" s="37" t="s">
        <v>13</v>
      </c>
      <c r="D93" s="41"/>
      <c r="E93" s="41"/>
      <c r="F93" s="41"/>
      <c r="G93" s="37" t="s">
        <v>117</v>
      </c>
      <c r="H93" s="42" t="str">
        <f>'Report Tracker'!H72</f>
        <v>Complete</v>
      </c>
    </row>
    <row r="94" spans="1:8" ht="18" customHeight="1" x14ac:dyDescent="0.25">
      <c r="A94" s="39">
        <v>6</v>
      </c>
      <c r="B94" s="38" t="s">
        <v>86</v>
      </c>
      <c r="C94" s="39" t="s">
        <v>13</v>
      </c>
      <c r="D94" s="43"/>
      <c r="E94" s="43"/>
      <c r="F94" s="43"/>
      <c r="G94" s="39" t="s">
        <v>116</v>
      </c>
      <c r="H94" s="42" t="str">
        <f>'Report Tracker'!H73</f>
        <v>Complete</v>
      </c>
    </row>
    <row r="95" spans="1:8" ht="18" customHeight="1" x14ac:dyDescent="0.25">
      <c r="A95" s="37">
        <v>7</v>
      </c>
      <c r="B95" s="36" t="s">
        <v>87</v>
      </c>
      <c r="C95" s="37" t="s">
        <v>13</v>
      </c>
      <c r="D95" s="41"/>
      <c r="E95" s="41"/>
      <c r="F95" s="41"/>
      <c r="G95" s="37" t="s">
        <v>113</v>
      </c>
      <c r="H95" s="42" t="str">
        <f>'Report Tracker'!H74</f>
        <v>Complete</v>
      </c>
    </row>
    <row r="96" spans="1:8" ht="18" customHeight="1" x14ac:dyDescent="0.25">
      <c r="A96" s="39">
        <v>8</v>
      </c>
      <c r="B96" s="38" t="s">
        <v>88</v>
      </c>
      <c r="C96" s="39" t="s">
        <v>20</v>
      </c>
      <c r="D96" s="43"/>
      <c r="E96" s="43"/>
      <c r="F96" s="43"/>
      <c r="G96" s="39" t="s">
        <v>119</v>
      </c>
      <c r="H96" s="42" t="str">
        <f>'Report Tracker'!H75</f>
        <v>Complete</v>
      </c>
    </row>
    <row r="97" spans="1:8" ht="18" customHeight="1" x14ac:dyDescent="0.25">
      <c r="A97" s="37">
        <v>9</v>
      </c>
      <c r="B97" s="36" t="s">
        <v>89</v>
      </c>
      <c r="C97" s="37" t="s">
        <v>20</v>
      </c>
      <c r="D97" s="41"/>
      <c r="E97" s="41"/>
      <c r="F97" s="41"/>
      <c r="G97" s="37" t="s">
        <v>110</v>
      </c>
      <c r="H97" s="42" t="str">
        <f>'Report Tracker'!H76</f>
        <v>Complete</v>
      </c>
    </row>
    <row r="98" spans="1:8" ht="18" customHeight="1" x14ac:dyDescent="0.25">
      <c r="A98" s="39">
        <v>10</v>
      </c>
      <c r="B98" s="38" t="s">
        <v>90</v>
      </c>
      <c r="C98" s="39" t="s">
        <v>24</v>
      </c>
      <c r="D98" s="43"/>
      <c r="E98" s="43"/>
      <c r="F98" s="43"/>
      <c r="G98" s="39" t="s">
        <v>109</v>
      </c>
      <c r="H98" s="42" t="str">
        <f>'Report Tracker'!H77</f>
        <v>Complete</v>
      </c>
    </row>
    <row r="99" spans="1:8" ht="18" customHeight="1" x14ac:dyDescent="0.25">
      <c r="A99" s="37">
        <v>11</v>
      </c>
      <c r="B99" s="36" t="s">
        <v>91</v>
      </c>
      <c r="C99" s="37" t="s">
        <v>24</v>
      </c>
      <c r="D99" s="41"/>
      <c r="E99" s="41"/>
      <c r="F99" s="41"/>
      <c r="G99" s="37" t="s">
        <v>115</v>
      </c>
      <c r="H99" s="42" t="str">
        <f>'Report Tracker'!H78</f>
        <v>Complete</v>
      </c>
    </row>
    <row r="100" spans="1:8" ht="18" customHeight="1" x14ac:dyDescent="0.25">
      <c r="A100" s="75" t="s">
        <v>133</v>
      </c>
      <c r="B100" s="75"/>
      <c r="C100" s="75"/>
      <c r="D100" s="75"/>
      <c r="E100" s="75"/>
      <c r="F100" s="75"/>
      <c r="G100" s="75"/>
      <c r="H100" s="75"/>
    </row>
  </sheetData>
  <mergeCells count="13">
    <mergeCell ref="A2:I2"/>
    <mergeCell ref="B4:H4"/>
    <mergeCell ref="A19:H19"/>
    <mergeCell ref="B21:H21"/>
    <mergeCell ref="A35:H35"/>
    <mergeCell ref="A83:H83"/>
    <mergeCell ref="B85:H85"/>
    <mergeCell ref="A100:H100"/>
    <mergeCell ref="B37:H37"/>
    <mergeCell ref="A51:H51"/>
    <mergeCell ref="B53:H53"/>
    <mergeCell ref="A66:H66"/>
    <mergeCell ref="B68:H68"/>
  </mergeCells>
  <conditionalFormatting sqref="H3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Report Tracker</vt:lpstr>
      <vt:lpstr>Dashboard</vt:lpstr>
      <vt:lpstr>By Operations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Edwin Tome</cp:lastModifiedBy>
  <cp:revision>0</cp:revision>
  <dcterms:created xsi:type="dcterms:W3CDTF">2026-03-27T20:59:07Z</dcterms:created>
  <dcterms:modified xsi:type="dcterms:W3CDTF">2026-05-16T11:21:03Z</dcterms:modified>
  <dc:language>en-US</dc:language>
</cp:coreProperties>
</file>